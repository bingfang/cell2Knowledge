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/>
  <workbookPr/>
  <mc:AlternateContent xmlns:mc="http://schemas.openxmlformats.org/markup-compatibility/2006">
    <mc:Choice Requires="x15">
      <x15ac:absPath xmlns:x15ac="http://schemas.microsoft.com/office/spreadsheetml/2010/11/ac" url="/Users/bingfang/local_project/Arangodb/cell2knowledge/data/"/>
    </mc:Choice>
  </mc:AlternateContent>
  <xr:revisionPtr revIDLastSave="0" documentId="13_ncr:1_{26B1D414-865E-C64E-A795-2E26C4726028}" xr6:coauthVersionLast="47" xr6:coauthVersionMax="47" xr10:uidLastSave="{00000000-0000-0000-0000-000000000000}"/>
  <bookViews>
    <workbookView xWindow="34220" yWindow="-9140" windowWidth="35720" windowHeight="18360" xr2:uid="{00000000-000D-0000-FFFF-FFFF00000000}"/>
  </bookViews>
  <sheets>
    <sheet name="Cell_Phenotype_KG_Schema_v2" sheetId="1" r:id="rId1"/>
    <sheet name="ontology classesrelations" sheetId="2" r:id="rId2"/>
    <sheet name="color codes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7" roundtripDataChecksum="rceVwDQNrRm3JVKwHBGtMdx/kniWN8q5GyRUIEm6Ic4="/>
    </ext>
  </extLst>
</workbook>
</file>

<file path=xl/calcChain.xml><?xml version="1.0" encoding="utf-8"?>
<calcChain xmlns="http://schemas.openxmlformats.org/spreadsheetml/2006/main">
  <c r="L3" i="1" l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D1" authorId="0" shapeId="0" xr:uid="{00000000-0006-0000-0100-000001000000}">
      <text>
        <r>
          <rPr>
            <sz val="12"/>
            <color theme="1"/>
            <rFont val="Aptos Narrow"/>
            <scheme val="minor"/>
          </rPr>
          <t>======
ID#AAABU45AH3Y
Matt Diller    (2024-09-04 18:19:49)
In other words, instead of annotating data with 'cell', we will use one of the classes in its subclass hierarchy that represents the cell type.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iV04wquzXbcCJtXBLt+brTRrlUVA=="/>
    </ext>
  </extLst>
</comments>
</file>

<file path=xl/sharedStrings.xml><?xml version="1.0" encoding="utf-8"?>
<sst xmlns="http://schemas.openxmlformats.org/spreadsheetml/2006/main" count="641" uniqueCount="282">
  <si>
    <t>Subject Node</t>
  </si>
  <si>
    <t>Predicate Relation</t>
  </si>
  <si>
    <t>Object Node</t>
  </si>
  <si>
    <t>Source</t>
  </si>
  <si>
    <t>Connections</t>
  </si>
  <si>
    <t>Comments</t>
  </si>
  <si>
    <t>Comments DOS</t>
  </si>
  <si>
    <t>Cell_type</t>
  </si>
  <si>
    <t>PART_OF</t>
  </si>
  <si>
    <t>Anatomical_structure</t>
  </si>
  <si>
    <t>CL</t>
  </si>
  <si>
    <t>Class-Class</t>
  </si>
  <si>
    <t>Organism</t>
  </si>
  <si>
    <t>HAS_PHENOTYPE</t>
  </si>
  <si>
    <t>Organism_traits</t>
  </si>
  <si>
    <t>CellxGene metadata</t>
  </si>
  <si>
    <t>Ind-Ind</t>
  </si>
  <si>
    <t>MEMBER_OF</t>
  </si>
  <si>
    <t>Species</t>
  </si>
  <si>
    <t>CellxGene metadata; NCBITaxon</t>
  </si>
  <si>
    <t>Please see OBO modelling of this  - which you will get from loading the ontologies</t>
  </si>
  <si>
    <t>UBERON</t>
  </si>
  <si>
    <t>CellxGene metadata; UBERON</t>
  </si>
  <si>
    <t>The CxG annotations represent samples - typically isolated via dissection.  Dissection is messy, inaccurate and doesn't respect anatomical boundaris used to structure ontogies - it is therefore v.important to keep this separable from part relationship in UBERON or between UBERON and CL terms</t>
  </si>
  <si>
    <t>Tissue_sample</t>
  </si>
  <si>
    <t>DERIVES_FROM</t>
  </si>
  <si>
    <t>Ind-Class</t>
  </si>
  <si>
    <t>Cell_suspension</t>
  </si>
  <si>
    <t>IS_SPECIFIED_INPUT_OF</t>
  </si>
  <si>
    <t>Assay</t>
  </si>
  <si>
    <t>HAS_PART</t>
  </si>
  <si>
    <t>Cell_set_data</t>
  </si>
  <si>
    <t>SOURCE</t>
  </si>
  <si>
    <t>Publication</t>
  </si>
  <si>
    <t>HAS_EXEMPLAR_DATA</t>
  </si>
  <si>
    <t>Cell_set_dataset</t>
  </si>
  <si>
    <t>scRNA-seq</t>
  </si>
  <si>
    <t>Class-Ind</t>
  </si>
  <si>
    <t>IS_SPECIFIED_OUTPUT_OF</t>
  </si>
  <si>
    <t>Sanger Intitute KG ?</t>
  </si>
  <si>
    <t>Cell_set</t>
  </si>
  <si>
    <t>I think better to link from dataset</t>
  </si>
  <si>
    <t>Total_cell_count</t>
  </si>
  <si>
    <t>IS_ABOUT</t>
  </si>
  <si>
    <t>INTERACTS_WITH</t>
  </si>
  <si>
    <t>SpaceTx</t>
  </si>
  <si>
    <t>DEVELOPS_FROM</t>
  </si>
  <si>
    <t>SUBCLASS_OF</t>
  </si>
  <si>
    <t>CL/PCL</t>
  </si>
  <si>
    <t>CAPABLE_OF</t>
  </si>
  <si>
    <t>inferred</t>
  </si>
  <si>
    <t xml:space="preserve">shortcut triple proposed by Bingfang </t>
  </si>
  <si>
    <t>CL includes many relationships to GO BP via capable_of.  GO curates in the opposite direction using occurs_in and has_participant</t>
  </si>
  <si>
    <t>Cellular_component</t>
  </si>
  <si>
    <t>Why Cell Set and not Cell Type? CL includes many relationships to GO CC via has_part.  GO curates in the opposite direction using part_of</t>
  </si>
  <si>
    <t>EXPRESSES</t>
  </si>
  <si>
    <t>Gene</t>
  </si>
  <si>
    <t>SUBCLUSTER_OF</t>
  </si>
  <si>
    <t>Sanger Institute KG</t>
  </si>
  <si>
    <t>Protein</t>
  </si>
  <si>
    <t>NLP</t>
  </si>
  <si>
    <t>LACKS_PART</t>
  </si>
  <si>
    <t>HAS_HIGH/LOW_PLASMA_MEMBRANE_AMOUNT</t>
  </si>
  <si>
    <t>Transcript</t>
  </si>
  <si>
    <t>Biomarker_combination</t>
  </si>
  <si>
    <t>NS-Forest</t>
  </si>
  <si>
    <t>IS_MARKER_FOR</t>
  </si>
  <si>
    <t>Differs from how we model. See BDSO paper (Tan et al., 2023)</t>
  </si>
  <si>
    <t>Open_chromatin_region</t>
  </si>
  <si>
    <t>REGULATES_LEVEL_OF</t>
  </si>
  <si>
    <t>ATACseq</t>
  </si>
  <si>
    <t>proteomics</t>
  </si>
  <si>
    <t>PRODUCES</t>
  </si>
  <si>
    <t>HAS_FUNCTION</t>
  </si>
  <si>
    <t>Molecular_function</t>
  </si>
  <si>
    <t>GO</t>
  </si>
  <si>
    <t>INVOLVED_IN</t>
  </si>
  <si>
    <t>LOCATED_IN</t>
  </si>
  <si>
    <t>Disease</t>
  </si>
  <si>
    <t>REALIZES</t>
  </si>
  <si>
    <t>Sign_or_symptom</t>
  </si>
  <si>
    <t>MONDO</t>
  </si>
  <si>
    <t>HAS_QUALITY</t>
  </si>
  <si>
    <t>Mutant_allele</t>
  </si>
  <si>
    <t>OMIM</t>
  </si>
  <si>
    <t>IS_GENETIC_BASIS_FOR_CONDITION</t>
  </si>
  <si>
    <t>Drug_product</t>
  </si>
  <si>
    <t>MOLECULARLY_INTERACTS_WITH</t>
  </si>
  <si>
    <t>DrugBank</t>
  </si>
  <si>
    <t>IS_SUBSTANCE_THAT_TREATS</t>
  </si>
  <si>
    <t>HAS_PLASMA_MEMBRANE_PART</t>
  </si>
  <si>
    <t>HAS_DISORDER_THAT_BEARS_DISEASE_DISPOSITION</t>
  </si>
  <si>
    <t>experiment metadata</t>
  </si>
  <si>
    <t>INSTANCE_OF</t>
  </si>
  <si>
    <t>Schema Name</t>
  </si>
  <si>
    <t>Label</t>
  </si>
  <si>
    <t>CURIE</t>
  </si>
  <si>
    <t>Select more granular descendent?</t>
  </si>
  <si>
    <t>BioLink Equivalent</t>
  </si>
  <si>
    <t>cell</t>
  </si>
  <si>
    <t>CL:0000000</t>
  </si>
  <si>
    <t>Yes</t>
  </si>
  <si>
    <t>Cell</t>
  </si>
  <si>
    <t>anatomical entity</t>
  </si>
  <si>
    <t>UBERON:0001062</t>
  </si>
  <si>
    <t>GrossAnatomicalStructure</t>
  </si>
  <si>
    <t>Narrow Match</t>
  </si>
  <si>
    <t>organism</t>
  </si>
  <si>
    <t>OBI:0100026</t>
  </si>
  <si>
    <t>No</t>
  </si>
  <si>
    <t>IndividualOrganism</t>
  </si>
  <si>
    <t>Not an exact match</t>
  </si>
  <si>
    <t>Review whether to map to BioLink</t>
  </si>
  <si>
    <t>qualitative</t>
  </si>
  <si>
    <t>PATO:0000068</t>
  </si>
  <si>
    <t>Yes [PATO:normal or MONDO]</t>
  </si>
  <si>
    <t>PhenotypicQuality</t>
  </si>
  <si>
    <t>Broad Match</t>
  </si>
  <si>
    <t>sample from organism</t>
  </si>
  <si>
    <t>OBI:0000671</t>
  </si>
  <si>
    <t>MaterialSample</t>
  </si>
  <si>
    <t>Material_processing</t>
  </si>
  <si>
    <t>sample preparation for sequencing assay</t>
  </si>
  <si>
    <t>OBI:0001902</t>
  </si>
  <si>
    <t>-</t>
  </si>
  <si>
    <t>No match</t>
  </si>
  <si>
    <t>cell culture</t>
  </si>
  <si>
    <t>OBI:0001876</t>
  </si>
  <si>
    <t>assay</t>
  </si>
  <si>
    <t>EFO:0002772 or EFO:0010183</t>
  </si>
  <si>
    <t>Procedure</t>
  </si>
  <si>
    <t>cellular organisms</t>
  </si>
  <si>
    <t>NCBITaxon:131567</t>
  </si>
  <si>
    <t>OrganismTaxon</t>
  </si>
  <si>
    <t>Nuclei</t>
  </si>
  <si>
    <t>nucleus</t>
  </si>
  <si>
    <t>GO:0005634</t>
  </si>
  <si>
    <t>CellularComponent</t>
  </si>
  <si>
    <t>data item</t>
  </si>
  <si>
    <t>IAO:0000027</t>
  </si>
  <si>
    <t>StudyResult</t>
  </si>
  <si>
    <t>dataset</t>
  </si>
  <si>
    <t>IAO:0000100</t>
  </si>
  <si>
    <t>Dataset</t>
  </si>
  <si>
    <t>publication</t>
  </si>
  <si>
    <t>IAO:0000311</t>
  </si>
  <si>
    <t>to be defined</t>
  </si>
  <si>
    <t>has_count</t>
  </si>
  <si>
    <t>Biological_process</t>
  </si>
  <si>
    <t>biological_process</t>
  </si>
  <si>
    <t>GO:0008150</t>
  </si>
  <si>
    <t>BiologicalProcess</t>
  </si>
  <si>
    <t>transcript</t>
  </si>
  <si>
    <t>SO:0000673</t>
  </si>
  <si>
    <t>sequence collection</t>
  </si>
  <si>
    <t>SO:0001260</t>
  </si>
  <si>
    <t>chromatin_regulatory_region</t>
  </si>
  <si>
    <t>SO:0002306</t>
  </si>
  <si>
    <t>RegulatoryRegion</t>
  </si>
  <si>
    <t>protein</t>
  </si>
  <si>
    <t>PR:000000001</t>
  </si>
  <si>
    <t>gene</t>
  </si>
  <si>
    <t>SO:0000704</t>
  </si>
  <si>
    <t>Review whether to use this class</t>
  </si>
  <si>
    <t>molecular_function</t>
  </si>
  <si>
    <t>GO:0003674</t>
  </si>
  <si>
    <t>MolecularActivity</t>
  </si>
  <si>
    <t>disease</t>
  </si>
  <si>
    <t>MONDO:0000001</t>
  </si>
  <si>
    <t>sequence_variant</t>
  </si>
  <si>
    <t>SO:0001536</t>
  </si>
  <si>
    <t>SequenceVariant</t>
  </si>
  <si>
    <t>drug product</t>
  </si>
  <si>
    <t>DRON:00000005</t>
  </si>
  <si>
    <t>Drug</t>
  </si>
  <si>
    <t>part of</t>
  </si>
  <si>
    <t>BFO:0000050</t>
  </si>
  <si>
    <t>part_of</t>
  </si>
  <si>
    <t>has phenotype</t>
  </si>
  <si>
    <t>RO:0002200</t>
  </si>
  <si>
    <t>has_phenotype</t>
  </si>
  <si>
    <t>member of</t>
  </si>
  <si>
    <t>RO:0002350</t>
  </si>
  <si>
    <t>member_of</t>
  </si>
  <si>
    <t>derives from</t>
  </si>
  <si>
    <t>RO:0001000</t>
  </si>
  <si>
    <t>derives_from</t>
  </si>
  <si>
    <t>is_specified_input_of</t>
  </si>
  <si>
    <t>OBI:0000295</t>
  </si>
  <si>
    <t>is_specified_output_of</t>
  </si>
  <si>
    <t>OBI:0000312</t>
  </si>
  <si>
    <t>has part</t>
  </si>
  <si>
    <t>BFO:0000051</t>
  </si>
  <si>
    <t>has_part</t>
  </si>
  <si>
    <t>exemplar data of</t>
  </si>
  <si>
    <t>RO:0015001</t>
  </si>
  <si>
    <t>is about</t>
  </si>
  <si>
    <t>IAO:0000136</t>
  </si>
  <si>
    <t>interacts with</t>
  </si>
  <si>
    <t>RO:0002434</t>
  </si>
  <si>
    <t>interacts_with</t>
  </si>
  <si>
    <t>develops from</t>
  </si>
  <si>
    <t>RO:0002202</t>
  </si>
  <si>
    <t>develops_from</t>
  </si>
  <si>
    <t>subClassOf</t>
  </si>
  <si>
    <t>rdfs:subClassOf</t>
  </si>
  <si>
    <t>subclass_of</t>
  </si>
  <si>
    <t>capable of</t>
  </si>
  <si>
    <t>RO:0002500</t>
  </si>
  <si>
    <t>capable_of</t>
  </si>
  <si>
    <t>is marker for</t>
  </si>
  <si>
    <t>RO:0002607</t>
  </si>
  <si>
    <t>biomarker_for</t>
  </si>
  <si>
    <t>Narrow match</t>
  </si>
  <si>
    <t>regulates level of</t>
  </si>
  <si>
    <t>RO:0002332</t>
  </si>
  <si>
    <t>regulates</t>
  </si>
  <si>
    <t>Broad match</t>
  </si>
  <si>
    <t>produces</t>
  </si>
  <si>
    <t>RO:0003000</t>
  </si>
  <si>
    <t>has function</t>
  </si>
  <si>
    <t>RO:0000085</t>
  </si>
  <si>
    <t>located in</t>
  </si>
  <si>
    <t>RO:0001025</t>
  </si>
  <si>
    <t>located_in</t>
  </si>
  <si>
    <t>realizes</t>
  </si>
  <si>
    <t>BFO:0000055</t>
  </si>
  <si>
    <t>has quality</t>
  </si>
  <si>
    <t>RO:0000086</t>
  </si>
  <si>
    <t>is genetic basis for condition</t>
  </si>
  <si>
    <t>RO:0004010</t>
  </si>
  <si>
    <t>gene_associated_with_condition</t>
  </si>
  <si>
    <t>molecularly interacts with</t>
  </si>
  <si>
    <t>RO:0002436</t>
  </si>
  <si>
    <t>directly_physically_interacts_with</t>
  </si>
  <si>
    <t>is substance that treats</t>
  </si>
  <si>
    <t>RO:0002606</t>
  </si>
  <si>
    <t>treats</t>
  </si>
  <si>
    <t>involved in</t>
  </si>
  <si>
    <t>RO:0002331</t>
  </si>
  <si>
    <t>actively_involved_in</t>
  </si>
  <si>
    <t>expresses</t>
  </si>
  <si>
    <t>RO:0002292</t>
  </si>
  <si>
    <t>HAS_HIGH_PLASMA_MEMBRANE_AMOUNT</t>
  </si>
  <si>
    <t>has high plasma membrane amount</t>
  </si>
  <si>
    <t>RO:0015015</t>
  </si>
  <si>
    <t>HAS_LOW_PLASMA_MEMBRANE_AMOUNT</t>
  </si>
  <si>
    <t>has low plasma membrane amount</t>
  </si>
  <si>
    <t>RO:0015016</t>
  </si>
  <si>
    <t>subcluster of</t>
  </si>
  <si>
    <t>RO:0015003</t>
  </si>
  <si>
    <t>PRIMARILY_COMPOSED_OF</t>
  </si>
  <si>
    <t>primarily composed of</t>
  </si>
  <si>
    <t>RO:0002473</t>
  </si>
  <si>
    <t>composed_primarily_of</t>
  </si>
  <si>
    <t>source</t>
  </si>
  <si>
    <t>dc:source</t>
  </si>
  <si>
    <t>supporting_data_source</t>
  </si>
  <si>
    <t>lacks_part</t>
  </si>
  <si>
    <t>CL:lacks_part</t>
  </si>
  <si>
    <t>has plasma membrane part</t>
  </si>
  <si>
    <t>RO:0002104</t>
  </si>
  <si>
    <t>has_plasma_membrane_part</t>
  </si>
  <si>
    <t>LACKS_PLASMA_MEMBRANE_PART</t>
  </si>
  <si>
    <t>lacks plasma membrane part</t>
  </si>
  <si>
    <t>???</t>
  </si>
  <si>
    <t>Changed from previous value</t>
  </si>
  <si>
    <t>Relation/Class does not exist</t>
  </si>
  <si>
    <t>Relation/Class exists but needs review</t>
  </si>
  <si>
    <t>Consider removing</t>
  </si>
  <si>
    <t>Anatomical_structure_subtype_child</t>
  </si>
  <si>
    <t>Cell_type_subtype_child</t>
  </si>
  <si>
    <t>Anatomical_structure_parents</t>
  </si>
  <si>
    <t>Cell_type_parent</t>
  </si>
  <si>
    <t>Biological_process_pathway</t>
  </si>
  <si>
    <t>Cells_Nuclei</t>
  </si>
  <si>
    <t>Idx</t>
  </si>
  <si>
    <t>Subject</t>
  </si>
  <si>
    <t>Object</t>
  </si>
  <si>
    <t>Predicate</t>
  </si>
  <si>
    <t>Idx_object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</si>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</sst>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2"/>
      <color theme="1"/>
      <name val="Aptos Narrow"/>
      <scheme val="minor"/>
    </font>
    <font>
      <b/>
      <sz val="12"/>
      <color theme="1"/>
      <name val="Arial"/>
      <family val="2"/>
    </font>
    <font>
      <b/>
      <sz val="12"/>
      <color theme="1"/>
      <name val="Aptos Narrow"/>
    </font>
    <font>
      <sz val="12"/>
      <color theme="1"/>
      <name val="Arial"/>
      <family val="2"/>
    </font>
    <font>
      <sz val="12"/>
      <color theme="1"/>
      <name val="Aptos Narrow"/>
      <scheme val="minor"/>
    </font>
    <font>
      <sz val="12"/>
      <color theme="1"/>
      <name val="Aptos Narrow"/>
    </font>
    <font>
      <sz val="12"/>
      <color theme="1"/>
      <name val="Arial"/>
      <family val="2"/>
    </font>
    <font>
      <sz val="12"/>
      <color rgb="FF000000"/>
      <name val="Aptos Narrow"/>
    </font>
    <font>
      <sz val="12"/>
      <color rgb="FF000000"/>
      <name val="Arial"/>
      <family val="2"/>
    </font>
    <font>
      <sz val="12"/>
      <color rgb="FFC00000"/>
      <name val="Arial"/>
      <family val="2"/>
    </font>
    <font>
      <sz val="12"/>
      <color theme="8"/>
      <name val="Aptos Narrow"/>
    </font>
    <font>
      <b/>
      <sz val="12"/>
      <color theme="1"/>
      <name val="Arial"/>
      <family val="2"/>
    </font>
    <font>
      <sz val="12"/>
      <name val="Aptos Narrow"/>
    </font>
    <font>
      <sz val="12"/>
      <color rgb="FFC00000"/>
      <name val="Aptos Narrow"/>
    </font>
    <font>
      <sz val="12"/>
      <color theme="0"/>
      <name val="Aptos Narrow"/>
    </font>
    <font>
      <sz val="8"/>
      <name val="Aptos Narrow"/>
      <scheme val="minor"/>
    </font>
    <font>
      <sz val="12"/>
      <color rgb="FFFF0000"/>
      <name val="Aptos Narrow"/>
    </font>
    <font>
      <sz val="12"/>
      <color rgb="FFFF0000"/>
      <name val="Arial"/>
      <family val="2"/>
    </font>
    <font>
      <sz val="12"/>
      <color rgb="FFFF0000"/>
      <name val="Aptos Narrow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4CCCC"/>
        <bgColor rgb="FFF4CCCC"/>
      </patternFill>
    </fill>
    <fill>
      <patternFill patternType="solid">
        <fgColor rgb="FFE06666"/>
        <bgColor rgb="FFE06666"/>
      </patternFill>
    </fill>
    <fill>
      <patternFill patternType="solid">
        <fgColor rgb="FFFF0000"/>
        <bgColor rgb="FFFF0000"/>
      </patternFill>
    </fill>
    <fill>
      <patternFill patternType="solid">
        <fgColor rgb="FFD0E0E3"/>
        <bgColor rgb="FFD0E0E3"/>
      </patternFill>
    </fill>
    <fill>
      <patternFill patternType="solid">
        <fgColor rgb="FFFFFF00"/>
        <bgColor rgb="FFFFFF00"/>
      </patternFill>
    </fill>
    <fill>
      <patternFill patternType="solid">
        <fgColor theme="1"/>
        <bgColor theme="1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6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1">
    <xf numFmtId="0" fontId="0" fillId="0" borderId="0"/>
  </cellStyleXfs>
  <cellXfs count="41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5" fillId="0" borderId="1" xfId="0" applyFont="1" applyBorder="1"/>
    <xf numFmtId="0" fontId="6" fillId="0" borderId="1" xfId="0" applyFont="1" applyBorder="1"/>
    <xf numFmtId="0" fontId="7" fillId="0" borderId="0" xfId="0" applyFont="1"/>
    <xf numFmtId="0" fontId="8" fillId="0" borderId="1" xfId="0" applyFont="1" applyBorder="1"/>
    <xf numFmtId="0" fontId="9" fillId="0" borderId="0" xfId="0" applyFont="1"/>
    <xf numFmtId="0" fontId="10" fillId="0" borderId="0" xfId="0" applyFont="1"/>
    <xf numFmtId="0" fontId="8" fillId="0" borderId="0" xfId="0" applyFont="1"/>
    <xf numFmtId="0" fontId="11" fillId="0" borderId="0" xfId="0" applyFont="1"/>
    <xf numFmtId="0" fontId="11" fillId="0" borderId="0" xfId="0" applyFont="1" applyAlignment="1">
      <alignment wrapText="1"/>
    </xf>
    <xf numFmtId="0" fontId="3" fillId="2" borderId="0" xfId="0" applyFont="1" applyFill="1"/>
    <xf numFmtId="0" fontId="3" fillId="3" borderId="0" xfId="0" applyFont="1" applyFill="1"/>
    <xf numFmtId="0" fontId="3" fillId="4" borderId="0" xfId="0" applyFont="1" applyFill="1"/>
    <xf numFmtId="0" fontId="3" fillId="5" borderId="0" xfId="0" applyFont="1" applyFill="1"/>
    <xf numFmtId="0" fontId="6" fillId="4" borderId="0" xfId="0" applyFont="1" applyFill="1"/>
    <xf numFmtId="0" fontId="3" fillId="0" borderId="1" xfId="0" applyFont="1" applyBorder="1"/>
    <xf numFmtId="0" fontId="5" fillId="6" borderId="2" xfId="0" applyFont="1" applyFill="1" applyBorder="1" applyAlignment="1">
      <alignment horizontal="center" vertical="center" wrapText="1"/>
    </xf>
    <xf numFmtId="0" fontId="12" fillId="0" borderId="3" xfId="0" applyFont="1" applyBorder="1"/>
    <xf numFmtId="0" fontId="12" fillId="0" borderId="4" xfId="0" applyFont="1" applyBorder="1"/>
    <xf numFmtId="0" fontId="12" fillId="0" borderId="5" xfId="0" applyFont="1" applyBorder="1"/>
    <xf numFmtId="0" fontId="13" fillId="0" borderId="0" xfId="0" applyFont="1" applyAlignment="1">
      <alignment horizontal="center" vertical="center" wrapText="1"/>
    </xf>
    <xf numFmtId="0" fontId="0" fillId="0" borderId="0" xfId="0"/>
    <xf numFmtId="0" fontId="10" fillId="0" borderId="0" xfId="0" applyFont="1" applyAlignment="1">
      <alignment horizontal="center" vertical="center" wrapText="1"/>
    </xf>
    <xf numFmtId="0" fontId="14" fillId="7" borderId="2" xfId="0" applyFont="1" applyFill="1" applyBorder="1" applyAlignment="1">
      <alignment horizontal="center" vertical="center"/>
    </xf>
    <xf numFmtId="0" fontId="17" fillId="8" borderId="0" xfId="0" applyFont="1" applyFill="1"/>
    <xf numFmtId="0" fontId="18" fillId="8" borderId="0" xfId="0" applyFont="1" applyFill="1"/>
    <xf numFmtId="0" fontId="16" fillId="8" borderId="1" xfId="0" applyFont="1" applyFill="1" applyBorder="1"/>
    <xf numFmtId="0" fontId="16" fillId="8" borderId="0" xfId="0" applyFont="1" applyFill="1"/>
    <xf numFmtId="0" fontId="5" fillId="8" borderId="0" xfId="0" applyFont="1" applyFill="1"/>
    <xf numFmtId="0" fontId="7" fillId="8" borderId="0" xfId="0" applyFont="1" applyFill="1"/>
    <xf numFmtId="0" fontId="6" fillId="8" borderId="0" xfId="0" applyFont="1" applyFill="1"/>
    <xf numFmtId="0" fontId="0" fillId="8" borderId="0" xfId="0" applyFill="1"/>
    <xf numFmtId="0" fontId="3" fillId="8" borderId="0" xfId="0" applyFont="1" applyFill="1"/>
    <xf numFmtId="0" fontId="3" fillId="9" borderId="0" xfId="0" applyFont="1" applyFill="1"/>
    <xf numFmtId="0" fontId="0" fillId="9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customschemas.google.com/relationships/workbookmetadata" Target="meta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calcChain" Target="calcChain.xml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B1003"/>
  <sheetViews>
    <sheetView tabSelected="1" topLeftCell="A4" workbookViewId="0">
      <selection activeCell="A27" sqref="A27:XFD27"/>
    </sheetView>
  </sheetViews>
  <sheetFormatPr baseColWidth="10" defaultColWidth="11.1640625" defaultRowHeight="15" customHeight="1"/>
  <cols>
    <col min="1" max="1" width="32.6640625" customWidth="1"/>
    <col min="2" max="2" width="52.1640625" customWidth="1"/>
    <col min="3" max="3" width="28.33203125" customWidth="1"/>
    <col min="4" max="4" width="28" customWidth="1"/>
    <col min="5" max="9" width="10.5" customWidth="1"/>
    <col min="10" max="10" width="25.33203125" customWidth="1"/>
    <col min="11" max="11" width="31.1640625" customWidth="1"/>
    <col min="12" max="12" width="34.5" customWidth="1"/>
    <col min="13" max="28" width="10.5" customWidth="1"/>
  </cols>
  <sheetData>
    <row r="1" spans="1:28" ht="15.75" customHeight="1">
      <c r="A1" s="1" t="s">
        <v>0</v>
      </c>
      <c r="B1" s="2" t="s">
        <v>1</v>
      </c>
      <c r="C1" s="2" t="s">
        <v>2</v>
      </c>
      <c r="D1" s="1" t="s">
        <v>3</v>
      </c>
      <c r="E1" s="1" t="s">
        <v>4</v>
      </c>
      <c r="F1" s="1" t="s">
        <v>5</v>
      </c>
      <c r="G1" s="3" t="s">
        <v>6</v>
      </c>
      <c r="I1" s="1" t="s">
        <v>276</v>
      </c>
      <c r="J1" s="1" t="s">
        <v>277</v>
      </c>
      <c r="K1" s="1" t="s">
        <v>278</v>
      </c>
      <c r="L1" s="1" t="s">
        <v>279</v>
      </c>
      <c r="M1" s="1" t="s">
        <v>280</v>
      </c>
    </row>
    <row r="2" spans="1:28" ht="15.75" customHeight="1">
      <c r="A2" s="3" t="s">
        <v>7</v>
      </c>
      <c r="B2" s="4" t="s">
        <v>8</v>
      </c>
      <c r="C2" s="4" t="s">
        <v>9</v>
      </c>
      <c r="D2" s="3" t="s">
        <v>10</v>
      </c>
      <c r="E2" s="3" t="s">
        <v>11</v>
      </c>
      <c r="I2">
        <v>1</v>
      </c>
      <c r="J2" s="3" t="s">
        <v>7</v>
      </c>
      <c r="K2" s="4" t="s">
        <v>9</v>
      </c>
      <c r="L2" t="str">
        <f>J2&amp;"-"&amp;K2</f>
        <v>Cell_type-Anatomical_structure</v>
      </c>
      <c r="M2">
        <v>1</v>
      </c>
    </row>
    <row r="3" spans="1:28" ht="15.75" customHeight="1">
      <c r="A3" s="5" t="s">
        <v>12</v>
      </c>
      <c r="B3" s="5" t="s">
        <v>13</v>
      </c>
      <c r="C3" s="5" t="s">
        <v>14</v>
      </c>
      <c r="D3" s="3" t="s">
        <v>15</v>
      </c>
      <c r="E3" s="6" t="s">
        <v>16</v>
      </c>
      <c r="F3" s="5"/>
      <c r="G3" s="5"/>
      <c r="H3" s="5"/>
      <c r="I3">
        <v>2</v>
      </c>
      <c r="J3" s="5" t="s">
        <v>12</v>
      </c>
      <c r="K3" s="5" t="s">
        <v>14</v>
      </c>
      <c r="L3" t="str">
        <f t="shared" ref="L3:L46" si="0">J3&amp;"-"&amp;K3</f>
        <v>Organism-Organism_traits</v>
      </c>
      <c r="M3" s="5">
        <v>2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</row>
    <row r="4" spans="1:28" ht="15.75" customHeight="1">
      <c r="A4" s="7" t="s">
        <v>12</v>
      </c>
      <c r="B4" s="8" t="s">
        <v>17</v>
      </c>
      <c r="C4" s="8" t="s">
        <v>18</v>
      </c>
      <c r="D4" s="3" t="s">
        <v>19</v>
      </c>
      <c r="E4" s="6" t="s">
        <v>11</v>
      </c>
      <c r="F4" s="5"/>
      <c r="G4" s="6" t="s">
        <v>20</v>
      </c>
      <c r="H4" s="5"/>
      <c r="I4">
        <v>3</v>
      </c>
      <c r="J4" s="7" t="s">
        <v>12</v>
      </c>
      <c r="K4" s="8" t="s">
        <v>18</v>
      </c>
      <c r="L4" t="str">
        <f t="shared" si="0"/>
        <v>Organism-Species</v>
      </c>
      <c r="M4">
        <v>3</v>
      </c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</row>
    <row r="5" spans="1:28" ht="15.75" customHeight="1">
      <c r="A5" s="9" t="s">
        <v>9</v>
      </c>
      <c r="B5" s="9" t="s">
        <v>8</v>
      </c>
      <c r="C5" s="9" t="s">
        <v>12</v>
      </c>
      <c r="D5" s="6" t="s">
        <v>21</v>
      </c>
      <c r="E5" s="6" t="s">
        <v>11</v>
      </c>
      <c r="F5" s="5"/>
      <c r="G5" s="5"/>
      <c r="H5" s="5"/>
      <c r="I5">
        <v>4</v>
      </c>
      <c r="J5" s="9" t="s">
        <v>9</v>
      </c>
      <c r="K5" s="9" t="s">
        <v>12</v>
      </c>
      <c r="L5" t="str">
        <f t="shared" si="0"/>
        <v>Anatomical_structure-Organism</v>
      </c>
      <c r="M5" s="5" t="s">
        <v>281</v>
      </c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</row>
    <row r="6" spans="1:28" ht="15.75" customHeight="1">
      <c r="A6" s="7" t="s">
        <v>270</v>
      </c>
      <c r="B6" s="7" t="s">
        <v>8</v>
      </c>
      <c r="C6" s="7" t="s">
        <v>272</v>
      </c>
      <c r="D6" s="3" t="s">
        <v>22</v>
      </c>
      <c r="E6" s="6" t="s">
        <v>11</v>
      </c>
      <c r="G6" s="3" t="s">
        <v>23</v>
      </c>
      <c r="I6">
        <v>5</v>
      </c>
      <c r="J6" s="7" t="s">
        <v>270</v>
      </c>
      <c r="K6" s="7" t="s">
        <v>272</v>
      </c>
      <c r="L6" t="str">
        <f t="shared" si="0"/>
        <v>Anatomical_structure_subtype_child-Anatomical_structure_parents</v>
      </c>
      <c r="M6">
        <v>5</v>
      </c>
    </row>
    <row r="7" spans="1:28" s="31" customFormat="1" ht="15.75" customHeight="1">
      <c r="A7" s="32" t="s">
        <v>24</v>
      </c>
      <c r="B7" s="32" t="s">
        <v>25</v>
      </c>
      <c r="C7" s="32" t="s">
        <v>9</v>
      </c>
      <c r="D7" s="30" t="s">
        <v>15</v>
      </c>
      <c r="E7" s="30" t="s">
        <v>26</v>
      </c>
      <c r="I7" s="31">
        <v>6</v>
      </c>
      <c r="J7" s="32" t="s">
        <v>24</v>
      </c>
      <c r="K7" s="32" t="s">
        <v>9</v>
      </c>
      <c r="L7" s="31" t="str">
        <f t="shared" si="0"/>
        <v>Tissue_sample-Anatomical_structure</v>
      </c>
      <c r="M7" s="33" t="s">
        <v>281</v>
      </c>
    </row>
    <row r="8" spans="1:28" ht="15.75" customHeight="1">
      <c r="A8" s="7" t="s">
        <v>27</v>
      </c>
      <c r="B8" s="7" t="s">
        <v>25</v>
      </c>
      <c r="C8" s="7" t="s">
        <v>24</v>
      </c>
      <c r="D8" s="3" t="s">
        <v>15</v>
      </c>
      <c r="I8">
        <v>7</v>
      </c>
      <c r="J8" s="7" t="s">
        <v>27</v>
      </c>
      <c r="K8" s="7" t="s">
        <v>24</v>
      </c>
      <c r="L8" t="str">
        <f t="shared" si="0"/>
        <v>Cell_suspension-Tissue_sample</v>
      </c>
      <c r="M8">
        <v>7</v>
      </c>
    </row>
    <row r="9" spans="1:28" ht="15.75" customHeight="1">
      <c r="A9" s="7" t="s">
        <v>27</v>
      </c>
      <c r="B9" s="7" t="s">
        <v>28</v>
      </c>
      <c r="C9" s="7" t="s">
        <v>29</v>
      </c>
      <c r="D9" s="3" t="s">
        <v>15</v>
      </c>
      <c r="I9">
        <v>8</v>
      </c>
      <c r="J9" s="7" t="s">
        <v>27</v>
      </c>
      <c r="K9" s="7" t="s">
        <v>29</v>
      </c>
      <c r="L9" t="str">
        <f t="shared" si="0"/>
        <v>Cell_suspension-Assay</v>
      </c>
      <c r="M9" s="5">
        <v>8</v>
      </c>
    </row>
    <row r="10" spans="1:28" ht="15.75" customHeight="1">
      <c r="A10" s="7" t="s">
        <v>27</v>
      </c>
      <c r="B10" s="7" t="s">
        <v>30</v>
      </c>
      <c r="C10" s="21" t="s">
        <v>275</v>
      </c>
      <c r="D10" s="3" t="s">
        <v>15</v>
      </c>
      <c r="I10">
        <v>9</v>
      </c>
      <c r="J10" s="7" t="s">
        <v>27</v>
      </c>
      <c r="K10" s="21" t="s">
        <v>275</v>
      </c>
      <c r="L10" t="str">
        <f t="shared" si="0"/>
        <v>Cell_suspension-Cells_Nuclei</v>
      </c>
      <c r="M10">
        <v>9</v>
      </c>
    </row>
    <row r="11" spans="1:28" ht="16" customHeight="1">
      <c r="A11" s="10" t="s">
        <v>31</v>
      </c>
      <c r="B11" s="3" t="s">
        <v>32</v>
      </c>
      <c r="C11" s="3" t="s">
        <v>33</v>
      </c>
      <c r="D11" s="3" t="s">
        <v>15</v>
      </c>
      <c r="I11">
        <v>10</v>
      </c>
      <c r="J11" s="10" t="s">
        <v>31</v>
      </c>
      <c r="K11" s="3" t="s">
        <v>33</v>
      </c>
      <c r="L11" t="str">
        <f t="shared" si="0"/>
        <v>Cell_set_data-Publication</v>
      </c>
      <c r="M11" s="5">
        <v>10</v>
      </c>
    </row>
    <row r="12" spans="1:28" ht="15.75" customHeight="1">
      <c r="A12" s="8" t="s">
        <v>7</v>
      </c>
      <c r="B12" s="3" t="s">
        <v>34</v>
      </c>
      <c r="C12" s="3" t="s">
        <v>35</v>
      </c>
      <c r="D12" s="3" t="s">
        <v>36</v>
      </c>
      <c r="E12" s="3" t="s">
        <v>37</v>
      </c>
      <c r="I12">
        <v>11</v>
      </c>
      <c r="J12" s="8" t="s">
        <v>7</v>
      </c>
      <c r="K12" s="3" t="s">
        <v>35</v>
      </c>
      <c r="L12" t="str">
        <f t="shared" si="0"/>
        <v>Cell_type-Cell_set_dataset</v>
      </c>
      <c r="M12">
        <v>11</v>
      </c>
    </row>
    <row r="13" spans="1:28" ht="15.75" customHeight="1">
      <c r="A13" s="8" t="s">
        <v>35</v>
      </c>
      <c r="B13" s="7" t="s">
        <v>38</v>
      </c>
      <c r="C13" s="7" t="s">
        <v>29</v>
      </c>
      <c r="D13" s="3" t="s">
        <v>15</v>
      </c>
      <c r="I13">
        <v>12</v>
      </c>
      <c r="J13" s="8" t="s">
        <v>35</v>
      </c>
      <c r="K13" s="7" t="s">
        <v>29</v>
      </c>
      <c r="L13" t="str">
        <f t="shared" si="0"/>
        <v>Cell_set_dataset-Assay</v>
      </c>
      <c r="M13" s="5">
        <v>12</v>
      </c>
    </row>
    <row r="14" spans="1:28" ht="15.75" customHeight="1">
      <c r="A14" s="8" t="s">
        <v>31</v>
      </c>
      <c r="B14" s="8" t="s">
        <v>32</v>
      </c>
      <c r="C14" s="8" t="s">
        <v>35</v>
      </c>
      <c r="D14" s="3" t="s">
        <v>39</v>
      </c>
      <c r="I14">
        <v>13</v>
      </c>
      <c r="J14" s="8" t="s">
        <v>31</v>
      </c>
      <c r="K14" s="8" t="s">
        <v>35</v>
      </c>
      <c r="L14" t="str">
        <f t="shared" si="0"/>
        <v>Cell_set_data-Cell_set_dataset</v>
      </c>
      <c r="M14">
        <v>13</v>
      </c>
    </row>
    <row r="15" spans="1:28" ht="15.75" customHeight="1">
      <c r="A15" s="6" t="s">
        <v>40</v>
      </c>
      <c r="B15" s="6" t="s">
        <v>32</v>
      </c>
      <c r="C15" s="5" t="s">
        <v>33</v>
      </c>
      <c r="D15" s="3" t="s">
        <v>15</v>
      </c>
      <c r="G15" s="3" t="s">
        <v>41</v>
      </c>
      <c r="I15">
        <v>14</v>
      </c>
      <c r="J15" s="6" t="s">
        <v>40</v>
      </c>
      <c r="K15" s="5" t="s">
        <v>33</v>
      </c>
      <c r="L15" t="str">
        <f t="shared" si="0"/>
        <v>Cell_set-Publication</v>
      </c>
      <c r="M15" s="5">
        <v>14</v>
      </c>
    </row>
    <row r="16" spans="1:28" ht="15.75" customHeight="1">
      <c r="A16" s="11" t="s">
        <v>42</v>
      </c>
      <c r="B16" s="3" t="s">
        <v>43</v>
      </c>
      <c r="C16" s="3" t="s">
        <v>27</v>
      </c>
      <c r="D16" s="3" t="s">
        <v>15</v>
      </c>
      <c r="I16">
        <v>15</v>
      </c>
      <c r="J16" s="11" t="s">
        <v>42</v>
      </c>
      <c r="K16" s="3" t="s">
        <v>27</v>
      </c>
      <c r="L16" t="str">
        <f t="shared" si="0"/>
        <v>Total_cell_count-Cell_suspension</v>
      </c>
      <c r="M16">
        <v>15</v>
      </c>
    </row>
    <row r="17" spans="1:28" ht="15.75" customHeight="1">
      <c r="A17" s="11" t="s">
        <v>42</v>
      </c>
      <c r="B17" s="3" t="s">
        <v>8</v>
      </c>
      <c r="C17" s="3" t="s">
        <v>35</v>
      </c>
      <c r="D17" s="3" t="s">
        <v>15</v>
      </c>
      <c r="I17">
        <v>16</v>
      </c>
      <c r="J17" s="11" t="s">
        <v>42</v>
      </c>
      <c r="K17" s="3" t="s">
        <v>35</v>
      </c>
      <c r="L17" t="str">
        <f t="shared" si="0"/>
        <v>Total_cell_count-Cell_set_dataset</v>
      </c>
      <c r="M17" s="5">
        <v>16</v>
      </c>
    </row>
    <row r="18" spans="1:28" ht="15.75" customHeight="1">
      <c r="A18" s="9" t="s">
        <v>7</v>
      </c>
      <c r="B18" s="5" t="s">
        <v>44</v>
      </c>
      <c r="C18" s="9" t="s">
        <v>7</v>
      </c>
      <c r="D18" s="6" t="s">
        <v>45</v>
      </c>
      <c r="E18" s="5"/>
      <c r="F18" s="5"/>
      <c r="G18" s="5"/>
      <c r="H18" s="5"/>
      <c r="I18">
        <v>17</v>
      </c>
      <c r="J18" s="9" t="s">
        <v>7</v>
      </c>
      <c r="K18" s="9" t="s">
        <v>7</v>
      </c>
      <c r="L18" t="str">
        <f t="shared" si="0"/>
        <v>Cell_type-Cell_type</v>
      </c>
      <c r="M18">
        <v>17</v>
      </c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</row>
    <row r="19" spans="1:28" ht="15.75" customHeight="1">
      <c r="A19" s="9" t="s">
        <v>7</v>
      </c>
      <c r="B19" s="5" t="s">
        <v>46</v>
      </c>
      <c r="C19" s="9" t="s">
        <v>7</v>
      </c>
      <c r="D19" s="6" t="s">
        <v>10</v>
      </c>
      <c r="E19" s="5"/>
      <c r="F19" s="5"/>
      <c r="G19" s="5"/>
      <c r="H19" s="5"/>
      <c r="I19">
        <v>18</v>
      </c>
      <c r="J19" s="9" t="s">
        <v>7</v>
      </c>
      <c r="K19" s="9" t="s">
        <v>7</v>
      </c>
      <c r="L19" t="str">
        <f t="shared" si="0"/>
        <v>Cell_type-Cell_type</v>
      </c>
      <c r="M19" s="5">
        <v>18</v>
      </c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</row>
    <row r="20" spans="1:28" ht="15.75" customHeight="1">
      <c r="A20" s="9" t="s">
        <v>271</v>
      </c>
      <c r="B20" s="6" t="s">
        <v>47</v>
      </c>
      <c r="C20" s="9" t="s">
        <v>273</v>
      </c>
      <c r="D20" s="6" t="s">
        <v>48</v>
      </c>
      <c r="E20" s="5"/>
      <c r="F20" s="5"/>
      <c r="G20" s="5"/>
      <c r="H20" s="5"/>
      <c r="I20">
        <v>19</v>
      </c>
      <c r="J20" s="9" t="s">
        <v>271</v>
      </c>
      <c r="K20" s="9" t="s">
        <v>273</v>
      </c>
      <c r="L20" t="str">
        <f t="shared" si="0"/>
        <v>Cell_type_subtype_child-Cell_type_parent</v>
      </c>
      <c r="M20">
        <v>19</v>
      </c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</row>
    <row r="21" spans="1:28" ht="15.75" customHeight="1">
      <c r="A21" s="3" t="s">
        <v>7</v>
      </c>
      <c r="B21" s="3" t="s">
        <v>49</v>
      </c>
      <c r="C21" s="3" t="s">
        <v>274</v>
      </c>
      <c r="D21" s="3" t="s">
        <v>50</v>
      </c>
      <c r="E21" s="3"/>
      <c r="F21" s="3" t="s">
        <v>51</v>
      </c>
      <c r="G21" s="3" t="s">
        <v>52</v>
      </c>
      <c r="I21">
        <v>20</v>
      </c>
      <c r="J21" s="3" t="s">
        <v>7</v>
      </c>
      <c r="K21" s="3" t="s">
        <v>274</v>
      </c>
      <c r="L21" t="str">
        <f t="shared" si="0"/>
        <v>Cell_type-Biological_process_pathway</v>
      </c>
      <c r="M21" s="5">
        <v>20</v>
      </c>
    </row>
    <row r="22" spans="1:28" ht="16" customHeight="1">
      <c r="A22" s="3" t="s">
        <v>7</v>
      </c>
      <c r="B22" s="3" t="s">
        <v>30</v>
      </c>
      <c r="C22" s="3" t="s">
        <v>53</v>
      </c>
      <c r="D22" s="3" t="s">
        <v>50</v>
      </c>
      <c r="E22" s="3"/>
      <c r="F22" s="3"/>
      <c r="G22" s="3" t="s">
        <v>54</v>
      </c>
      <c r="I22">
        <v>21</v>
      </c>
      <c r="J22" s="3" t="s">
        <v>7</v>
      </c>
      <c r="K22" s="3" t="s">
        <v>53</v>
      </c>
      <c r="L22" t="str">
        <f t="shared" si="0"/>
        <v>Cell_type-Cellular_component</v>
      </c>
      <c r="M22">
        <v>21</v>
      </c>
    </row>
    <row r="23" spans="1:28" ht="15.75" customHeight="1">
      <c r="A23" s="3" t="s">
        <v>7</v>
      </c>
      <c r="B23" s="3" t="s">
        <v>55</v>
      </c>
      <c r="C23" s="3" t="s">
        <v>56</v>
      </c>
      <c r="D23" s="6" t="s">
        <v>48</v>
      </c>
      <c r="E23" s="5"/>
      <c r="F23" s="5"/>
      <c r="G23" s="5"/>
      <c r="H23" s="5"/>
      <c r="I23">
        <v>22</v>
      </c>
      <c r="J23" s="3" t="s">
        <v>7</v>
      </c>
      <c r="K23" s="3" t="s">
        <v>56</v>
      </c>
      <c r="L23" t="str">
        <f t="shared" si="0"/>
        <v>Cell_type-Gene</v>
      </c>
      <c r="M23" s="5">
        <v>22</v>
      </c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</row>
    <row r="24" spans="1:28" ht="15.75" customHeight="1">
      <c r="A24" s="3" t="s">
        <v>40</v>
      </c>
      <c r="B24" s="3" t="s">
        <v>57</v>
      </c>
      <c r="C24" s="3" t="s">
        <v>40</v>
      </c>
      <c r="D24" s="6" t="s">
        <v>58</v>
      </c>
      <c r="E24" s="5"/>
      <c r="F24" s="5"/>
      <c r="G24" s="5"/>
      <c r="H24" s="5"/>
      <c r="I24">
        <v>23</v>
      </c>
      <c r="J24" s="3" t="s">
        <v>40</v>
      </c>
      <c r="K24" s="3" t="s">
        <v>40</v>
      </c>
      <c r="L24" t="str">
        <f t="shared" si="0"/>
        <v>Cell_set-Cell_set</v>
      </c>
      <c r="M24">
        <v>23</v>
      </c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</row>
    <row r="25" spans="1:28" ht="15.75" customHeight="1">
      <c r="A25" s="3" t="s">
        <v>40</v>
      </c>
      <c r="B25" s="3" t="s">
        <v>55</v>
      </c>
      <c r="C25" s="3" t="s">
        <v>56</v>
      </c>
      <c r="D25" s="6" t="s">
        <v>58</v>
      </c>
      <c r="E25" s="5"/>
      <c r="F25" s="5"/>
      <c r="G25" s="5"/>
      <c r="H25" s="5"/>
      <c r="I25">
        <v>24</v>
      </c>
      <c r="J25" s="3" t="s">
        <v>40</v>
      </c>
      <c r="K25" s="3" t="s">
        <v>56</v>
      </c>
      <c r="L25" t="str">
        <f t="shared" si="0"/>
        <v>Cell_set-Gene</v>
      </c>
      <c r="M25" s="5">
        <v>24</v>
      </c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</row>
    <row r="26" spans="1:28" s="37" customFormat="1" ht="15.75" customHeight="1">
      <c r="A26" s="38" t="s">
        <v>7</v>
      </c>
      <c r="B26" s="38" t="s">
        <v>30</v>
      </c>
      <c r="C26" s="38" t="s">
        <v>59</v>
      </c>
      <c r="D26" s="36" t="s">
        <v>60</v>
      </c>
      <c r="E26" s="34"/>
      <c r="F26" s="34"/>
      <c r="G26" s="34"/>
      <c r="H26" s="34"/>
      <c r="I26" s="37">
        <v>25</v>
      </c>
      <c r="J26" s="38" t="s">
        <v>7</v>
      </c>
      <c r="K26" s="38" t="s">
        <v>59</v>
      </c>
      <c r="L26" s="37" t="str">
        <f t="shared" si="0"/>
        <v>Cell_type-Protein</v>
      </c>
      <c r="M26" s="37">
        <v>25</v>
      </c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</row>
    <row r="27" spans="1:28" s="37" customFormat="1" ht="15.75" customHeight="1">
      <c r="A27" s="38" t="s">
        <v>40</v>
      </c>
      <c r="B27" s="38" t="s">
        <v>61</v>
      </c>
      <c r="C27" s="38" t="s">
        <v>59</v>
      </c>
      <c r="D27" s="36" t="s">
        <v>60</v>
      </c>
      <c r="E27" s="34"/>
      <c r="F27" s="34"/>
      <c r="G27" s="34"/>
      <c r="H27" s="34"/>
      <c r="I27" s="37">
        <v>26</v>
      </c>
      <c r="J27" s="38" t="s">
        <v>40</v>
      </c>
      <c r="K27" s="38" t="s">
        <v>59</v>
      </c>
      <c r="L27" s="37" t="str">
        <f t="shared" si="0"/>
        <v>Cell_set-Protein</v>
      </c>
      <c r="M27" s="34">
        <v>26</v>
      </c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</row>
    <row r="28" spans="1:28" s="37" customFormat="1" ht="15.75" customHeight="1">
      <c r="A28" s="38" t="s">
        <v>40</v>
      </c>
      <c r="B28" s="38" t="s">
        <v>62</v>
      </c>
      <c r="C28" s="38" t="s">
        <v>59</v>
      </c>
      <c r="D28" s="36" t="s">
        <v>60</v>
      </c>
      <c r="E28" s="34"/>
      <c r="F28" s="34"/>
      <c r="G28" s="34"/>
      <c r="H28" s="34"/>
      <c r="I28" s="37">
        <v>27</v>
      </c>
      <c r="J28" s="38" t="s">
        <v>40</v>
      </c>
      <c r="K28" s="38" t="s">
        <v>59</v>
      </c>
      <c r="L28" s="37" t="str">
        <f t="shared" si="0"/>
        <v>Cell_set-Protein</v>
      </c>
      <c r="M28" s="37">
        <v>27</v>
      </c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</row>
    <row r="29" spans="1:28" ht="15.75" customHeight="1">
      <c r="A29" s="12" t="s">
        <v>63</v>
      </c>
      <c r="B29" s="5" t="s">
        <v>8</v>
      </c>
      <c r="C29" s="13" t="s">
        <v>40</v>
      </c>
      <c r="D29" s="6" t="s">
        <v>36</v>
      </c>
      <c r="E29" s="5"/>
      <c r="F29" s="5"/>
      <c r="G29" s="5"/>
      <c r="H29" s="5"/>
      <c r="I29">
        <v>28</v>
      </c>
      <c r="J29" s="12" t="s">
        <v>63</v>
      </c>
      <c r="K29" s="13" t="s">
        <v>40</v>
      </c>
      <c r="L29" t="str">
        <f t="shared" si="0"/>
        <v>Transcript-Cell_set</v>
      </c>
      <c r="M29" s="5">
        <v>28</v>
      </c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</row>
    <row r="30" spans="1:28" ht="15.75" customHeight="1">
      <c r="A30" s="12" t="s">
        <v>63</v>
      </c>
      <c r="B30" s="7" t="s">
        <v>17</v>
      </c>
      <c r="C30" s="4" t="s">
        <v>64</v>
      </c>
      <c r="D30" s="3" t="s">
        <v>65</v>
      </c>
      <c r="I30">
        <v>29</v>
      </c>
      <c r="J30" s="12" t="s">
        <v>63</v>
      </c>
      <c r="K30" s="4" t="s">
        <v>64</v>
      </c>
      <c r="L30" t="str">
        <f t="shared" si="0"/>
        <v>Transcript-Biomarker_combination</v>
      </c>
      <c r="M30">
        <v>29</v>
      </c>
    </row>
    <row r="31" spans="1:28" ht="15.75" customHeight="1">
      <c r="A31" s="5" t="s">
        <v>64</v>
      </c>
      <c r="B31" s="5" t="s">
        <v>66</v>
      </c>
      <c r="C31" s="13" t="s">
        <v>40</v>
      </c>
      <c r="D31" s="6" t="s">
        <v>65</v>
      </c>
      <c r="E31" s="5"/>
      <c r="F31" s="5"/>
      <c r="G31" s="6" t="s">
        <v>67</v>
      </c>
      <c r="H31" s="5"/>
      <c r="I31">
        <v>30</v>
      </c>
      <c r="J31" s="5" t="s">
        <v>64</v>
      </c>
      <c r="K31" s="13" t="s">
        <v>40</v>
      </c>
      <c r="L31" t="str">
        <f t="shared" si="0"/>
        <v>Biomarker_combination-Cell_set</v>
      </c>
      <c r="M31" s="5">
        <v>30</v>
      </c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</row>
    <row r="32" spans="1:28" ht="15.75" customHeight="1">
      <c r="A32" s="12" t="s">
        <v>68</v>
      </c>
      <c r="B32" s="5" t="s">
        <v>69</v>
      </c>
      <c r="C32" s="12" t="s">
        <v>63</v>
      </c>
      <c r="D32" s="6" t="s">
        <v>70</v>
      </c>
      <c r="E32" s="5"/>
      <c r="F32" s="5"/>
      <c r="G32" s="5"/>
      <c r="H32" s="5"/>
      <c r="I32">
        <v>31</v>
      </c>
      <c r="J32" s="12" t="s">
        <v>68</v>
      </c>
      <c r="K32" s="12" t="s">
        <v>63</v>
      </c>
      <c r="L32" t="str">
        <f t="shared" si="0"/>
        <v>Open_chromatin_region-Transcript</v>
      </c>
      <c r="M32">
        <v>31</v>
      </c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</row>
    <row r="33" spans="1:28" s="37" customFormat="1" ht="15.75" customHeight="1">
      <c r="A33" s="34" t="s">
        <v>59</v>
      </c>
      <c r="B33" s="35" t="s">
        <v>8</v>
      </c>
      <c r="C33" s="35" t="s">
        <v>7</v>
      </c>
      <c r="D33" s="36" t="s">
        <v>71</v>
      </c>
      <c r="E33" s="34"/>
      <c r="F33" s="34"/>
      <c r="G33" s="34"/>
      <c r="H33" s="34"/>
      <c r="I33" s="37">
        <v>32</v>
      </c>
      <c r="J33" s="34" t="s">
        <v>59</v>
      </c>
      <c r="K33" s="35" t="s">
        <v>7</v>
      </c>
      <c r="L33" s="37" t="str">
        <f t="shared" si="0"/>
        <v>Protein-Cell_type</v>
      </c>
      <c r="M33" s="34">
        <v>32</v>
      </c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</row>
    <row r="34" spans="1:28" ht="15.75" customHeight="1">
      <c r="A34" s="12" t="s">
        <v>56</v>
      </c>
      <c r="B34" s="5" t="s">
        <v>72</v>
      </c>
      <c r="C34" s="12" t="s">
        <v>63</v>
      </c>
      <c r="D34" s="6" t="s">
        <v>50</v>
      </c>
      <c r="E34" s="5"/>
      <c r="F34" s="5"/>
      <c r="G34" s="5"/>
      <c r="H34" s="5"/>
      <c r="I34">
        <v>33</v>
      </c>
      <c r="J34" s="12" t="s">
        <v>56</v>
      </c>
      <c r="K34" s="12" t="s">
        <v>63</v>
      </c>
      <c r="L34" t="str">
        <f t="shared" si="0"/>
        <v>Gene-Transcript</v>
      </c>
      <c r="M34">
        <v>33</v>
      </c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</row>
    <row r="35" spans="1:28" ht="15.75" customHeight="1">
      <c r="A35" s="12" t="s">
        <v>63</v>
      </c>
      <c r="B35" s="4" t="s">
        <v>72</v>
      </c>
      <c r="C35" s="9" t="s">
        <v>59</v>
      </c>
      <c r="D35" s="3" t="s">
        <v>50</v>
      </c>
      <c r="I35">
        <v>34</v>
      </c>
      <c r="J35" s="12" t="s">
        <v>63</v>
      </c>
      <c r="K35" s="9" t="s">
        <v>59</v>
      </c>
      <c r="L35" t="str">
        <f t="shared" si="0"/>
        <v>Transcript-Protein</v>
      </c>
      <c r="M35" s="5">
        <v>34</v>
      </c>
    </row>
    <row r="36" spans="1:28" ht="15.75" customHeight="1">
      <c r="A36" s="9" t="s">
        <v>59</v>
      </c>
      <c r="B36" s="7" t="s">
        <v>73</v>
      </c>
      <c r="C36" s="13" t="s">
        <v>74</v>
      </c>
      <c r="D36" s="6" t="s">
        <v>75</v>
      </c>
      <c r="E36" s="5"/>
      <c r="F36" s="5"/>
      <c r="G36" s="5"/>
      <c r="H36" s="5"/>
      <c r="I36">
        <v>35</v>
      </c>
      <c r="J36" s="9" t="s">
        <v>59</v>
      </c>
      <c r="K36" s="13" t="s">
        <v>74</v>
      </c>
      <c r="L36" t="str">
        <f t="shared" si="0"/>
        <v>Protein-Molecular_function</v>
      </c>
      <c r="M36">
        <v>35</v>
      </c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</row>
    <row r="37" spans="1:28" ht="15.75" customHeight="1">
      <c r="A37" s="9" t="s">
        <v>59</v>
      </c>
      <c r="B37" s="6" t="s">
        <v>76</v>
      </c>
      <c r="C37" s="9" t="s">
        <v>274</v>
      </c>
      <c r="D37" s="6" t="s">
        <v>75</v>
      </c>
      <c r="E37" s="5"/>
      <c r="F37" s="5"/>
      <c r="G37" s="5"/>
      <c r="H37" s="5"/>
      <c r="I37">
        <v>36</v>
      </c>
      <c r="J37" s="9" t="s">
        <v>59</v>
      </c>
      <c r="K37" s="9" t="s">
        <v>274</v>
      </c>
      <c r="L37" t="str">
        <f t="shared" si="0"/>
        <v>Protein-Biological_process_pathway</v>
      </c>
      <c r="M37" s="5">
        <v>36</v>
      </c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</row>
    <row r="38" spans="1:28" ht="15.75" customHeight="1">
      <c r="A38" s="9" t="s">
        <v>59</v>
      </c>
      <c r="B38" s="5" t="s">
        <v>77</v>
      </c>
      <c r="C38" s="13" t="s">
        <v>53</v>
      </c>
      <c r="D38" s="6" t="s">
        <v>75</v>
      </c>
      <c r="E38" s="5"/>
      <c r="F38" s="5"/>
      <c r="G38" s="5"/>
      <c r="H38" s="5"/>
      <c r="I38">
        <v>37</v>
      </c>
      <c r="J38" s="9" t="s">
        <v>59</v>
      </c>
      <c r="K38" s="13" t="s">
        <v>53</v>
      </c>
      <c r="L38" t="str">
        <f t="shared" si="0"/>
        <v>Protein-Cellular_component</v>
      </c>
      <c r="M38">
        <v>37</v>
      </c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</row>
    <row r="39" spans="1:28" ht="15.75" customHeight="1">
      <c r="A39" s="9" t="s">
        <v>78</v>
      </c>
      <c r="B39" s="5" t="s">
        <v>79</v>
      </c>
      <c r="C39" s="9" t="s">
        <v>80</v>
      </c>
      <c r="D39" s="6" t="s">
        <v>81</v>
      </c>
      <c r="E39" s="5"/>
      <c r="F39" s="5"/>
      <c r="G39" s="5"/>
      <c r="H39" s="5"/>
      <c r="I39">
        <v>38</v>
      </c>
      <c r="J39" s="9" t="s">
        <v>78</v>
      </c>
      <c r="K39" s="9" t="s">
        <v>80</v>
      </c>
      <c r="L39" t="str">
        <f t="shared" si="0"/>
        <v>Disease-Sign_or_symptom</v>
      </c>
      <c r="M39" s="5">
        <v>38</v>
      </c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</row>
    <row r="40" spans="1:28" ht="15.75" customHeight="1">
      <c r="A40" s="12" t="s">
        <v>56</v>
      </c>
      <c r="B40" s="6" t="s">
        <v>82</v>
      </c>
      <c r="C40" s="12" t="s">
        <v>83</v>
      </c>
      <c r="D40" s="6" t="s">
        <v>84</v>
      </c>
      <c r="E40" s="5"/>
      <c r="F40" s="5"/>
      <c r="G40" s="5"/>
      <c r="H40" s="5"/>
      <c r="I40">
        <v>39</v>
      </c>
      <c r="J40" s="12" t="s">
        <v>56</v>
      </c>
      <c r="K40" s="12" t="s">
        <v>83</v>
      </c>
      <c r="L40" t="str">
        <f t="shared" si="0"/>
        <v>Gene-Mutant_allele</v>
      </c>
      <c r="M40">
        <v>39</v>
      </c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</row>
    <row r="41" spans="1:28" ht="15.75" customHeight="1">
      <c r="A41" s="12" t="s">
        <v>83</v>
      </c>
      <c r="B41" s="5" t="s">
        <v>85</v>
      </c>
      <c r="C41" s="5" t="s">
        <v>78</v>
      </c>
      <c r="D41" s="6" t="s">
        <v>84</v>
      </c>
      <c r="E41" s="5"/>
      <c r="F41" s="5"/>
      <c r="G41" s="5"/>
      <c r="H41" s="5"/>
      <c r="I41">
        <v>40</v>
      </c>
      <c r="J41" s="12" t="s">
        <v>83</v>
      </c>
      <c r="K41" s="5" t="s">
        <v>78</v>
      </c>
      <c r="L41" t="str">
        <f t="shared" si="0"/>
        <v>Mutant_allele-Disease</v>
      </c>
      <c r="M41" s="5">
        <v>40</v>
      </c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</row>
    <row r="42" spans="1:28" ht="15.75" customHeight="1">
      <c r="A42" s="13" t="s">
        <v>86</v>
      </c>
      <c r="B42" s="5" t="s">
        <v>87</v>
      </c>
      <c r="C42" s="5" t="s">
        <v>59</v>
      </c>
      <c r="D42" s="6" t="s">
        <v>88</v>
      </c>
      <c r="E42" s="5"/>
      <c r="F42" s="5"/>
      <c r="G42" s="5"/>
      <c r="H42" s="5"/>
      <c r="I42">
        <v>41</v>
      </c>
      <c r="J42" s="13" t="s">
        <v>86</v>
      </c>
      <c r="K42" s="5" t="s">
        <v>59</v>
      </c>
      <c r="L42" t="str">
        <f t="shared" si="0"/>
        <v>Drug_product-Protein</v>
      </c>
      <c r="M42">
        <v>41</v>
      </c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</row>
    <row r="43" spans="1:28" ht="15.75" customHeight="1">
      <c r="A43" s="13" t="s">
        <v>86</v>
      </c>
      <c r="B43" s="4" t="s">
        <v>89</v>
      </c>
      <c r="C43" s="4" t="s">
        <v>78</v>
      </c>
      <c r="D43" s="3" t="s">
        <v>88</v>
      </c>
      <c r="I43">
        <v>42</v>
      </c>
      <c r="J43" s="13" t="s">
        <v>86</v>
      </c>
      <c r="K43" s="4" t="s">
        <v>78</v>
      </c>
      <c r="L43" t="str">
        <f t="shared" si="0"/>
        <v>Drug_product-Disease</v>
      </c>
      <c r="M43" s="5">
        <v>42</v>
      </c>
    </row>
    <row r="44" spans="1:28" s="40" customFormat="1" ht="15.75" customHeight="1">
      <c r="A44" s="39" t="s">
        <v>7</v>
      </c>
      <c r="B44" s="39" t="s">
        <v>90</v>
      </c>
      <c r="C44" s="39" t="s">
        <v>59</v>
      </c>
      <c r="D44" s="39" t="s">
        <v>60</v>
      </c>
      <c r="I44" s="40">
        <v>43</v>
      </c>
      <c r="J44" s="39" t="s">
        <v>7</v>
      </c>
      <c r="K44" s="39" t="s">
        <v>59</v>
      </c>
      <c r="L44" s="40" t="str">
        <f t="shared" si="0"/>
        <v>Cell_type-Protein</v>
      </c>
      <c r="M44" s="40">
        <v>43</v>
      </c>
    </row>
    <row r="45" spans="1:28" ht="15.75" customHeight="1">
      <c r="A45" s="3" t="s">
        <v>24</v>
      </c>
      <c r="B45" s="3" t="s">
        <v>91</v>
      </c>
      <c r="C45" s="3" t="s">
        <v>78</v>
      </c>
      <c r="D45" s="3" t="s">
        <v>92</v>
      </c>
      <c r="I45">
        <v>44</v>
      </c>
      <c r="J45" s="3" t="s">
        <v>24</v>
      </c>
      <c r="K45" s="3" t="s">
        <v>78</v>
      </c>
      <c r="L45" t="str">
        <f t="shared" si="0"/>
        <v>Tissue_sample-Disease</v>
      </c>
      <c r="M45" s="5">
        <v>44</v>
      </c>
    </row>
    <row r="46" spans="1:28" s="31" customFormat="1" ht="15.75" customHeight="1">
      <c r="A46" s="30" t="s">
        <v>24</v>
      </c>
      <c r="B46" s="30" t="s">
        <v>93</v>
      </c>
      <c r="C46" s="30" t="s">
        <v>9</v>
      </c>
      <c r="I46" s="31">
        <v>45</v>
      </c>
      <c r="J46" s="30" t="s">
        <v>24</v>
      </c>
      <c r="K46" s="30" t="s">
        <v>9</v>
      </c>
      <c r="L46" s="31" t="str">
        <f t="shared" si="0"/>
        <v>Tissue_sample-Anatomical_structure</v>
      </c>
    </row>
    <row r="47" spans="1:28" ht="15.75" customHeight="1">
      <c r="K47" s="5"/>
      <c r="L47" s="5"/>
    </row>
    <row r="48" spans="1:2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phoneticPr fontId="15" type="noConversion"/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outlinePr summaryBelow="0" summaryRight="0"/>
  </sheetPr>
  <dimension ref="A1:G60"/>
  <sheetViews>
    <sheetView workbookViewId="0"/>
  </sheetViews>
  <sheetFormatPr baseColWidth="10" defaultColWidth="11.1640625" defaultRowHeight="15" customHeight="1"/>
  <cols>
    <col min="1" max="1" width="33.33203125" customWidth="1"/>
    <col min="2" max="2" width="33.5" customWidth="1"/>
    <col min="3" max="3" width="16.33203125" customWidth="1"/>
    <col min="4" max="4" width="23.1640625" customWidth="1"/>
    <col min="5" max="5" width="21.6640625" customWidth="1"/>
  </cols>
  <sheetData>
    <row r="1" spans="1:7">
      <c r="A1" s="14" t="s">
        <v>94</v>
      </c>
      <c r="B1" s="14" t="s">
        <v>95</v>
      </c>
      <c r="C1" s="14" t="s">
        <v>96</v>
      </c>
      <c r="D1" s="15" t="s">
        <v>97</v>
      </c>
      <c r="E1" s="14" t="s">
        <v>98</v>
      </c>
    </row>
    <row r="2" spans="1:7">
      <c r="A2" s="3" t="s">
        <v>7</v>
      </c>
      <c r="B2" s="3" t="s">
        <v>99</v>
      </c>
      <c r="C2" s="3" t="s">
        <v>100</v>
      </c>
      <c r="D2" s="3" t="s">
        <v>101</v>
      </c>
      <c r="E2" s="3" t="s">
        <v>102</v>
      </c>
      <c r="F2" s="3"/>
    </row>
    <row r="3" spans="1:7">
      <c r="A3" s="3" t="s">
        <v>9</v>
      </c>
      <c r="B3" s="3" t="s">
        <v>103</v>
      </c>
      <c r="C3" s="3" t="s">
        <v>104</v>
      </c>
      <c r="D3" s="3" t="s">
        <v>101</v>
      </c>
      <c r="E3" s="16" t="s">
        <v>105</v>
      </c>
      <c r="F3" s="3" t="s">
        <v>106</v>
      </c>
    </row>
    <row r="4" spans="1:7">
      <c r="A4" s="3" t="s">
        <v>12</v>
      </c>
      <c r="B4" s="3" t="s">
        <v>107</v>
      </c>
      <c r="C4" s="3" t="s">
        <v>108</v>
      </c>
      <c r="D4" s="3" t="s">
        <v>109</v>
      </c>
      <c r="E4" s="17" t="s">
        <v>110</v>
      </c>
      <c r="F4" s="3" t="s">
        <v>111</v>
      </c>
      <c r="G4" s="3" t="s">
        <v>112</v>
      </c>
    </row>
    <row r="5" spans="1:7">
      <c r="A5" s="3" t="s">
        <v>14</v>
      </c>
      <c r="B5" s="3" t="s">
        <v>113</v>
      </c>
      <c r="C5" s="3" t="s">
        <v>114</v>
      </c>
      <c r="D5" s="3" t="s">
        <v>115</v>
      </c>
      <c r="E5" s="16" t="s">
        <v>116</v>
      </c>
      <c r="F5" s="3" t="s">
        <v>117</v>
      </c>
    </row>
    <row r="6" spans="1:7">
      <c r="A6" s="3" t="s">
        <v>24</v>
      </c>
      <c r="B6" s="3" t="s">
        <v>118</v>
      </c>
      <c r="C6" s="3" t="s">
        <v>119</v>
      </c>
      <c r="D6" s="3" t="s">
        <v>101</v>
      </c>
      <c r="E6" s="16" t="s">
        <v>120</v>
      </c>
      <c r="F6" s="3" t="s">
        <v>117</v>
      </c>
      <c r="G6" s="3" t="s">
        <v>112</v>
      </c>
    </row>
    <row r="7" spans="1:7">
      <c r="A7" s="3" t="s">
        <v>121</v>
      </c>
      <c r="B7" s="3" t="s">
        <v>122</v>
      </c>
      <c r="C7" s="3" t="s">
        <v>123</v>
      </c>
      <c r="D7" s="3" t="s">
        <v>109</v>
      </c>
      <c r="E7" s="18" t="s">
        <v>124</v>
      </c>
      <c r="F7" s="3" t="s">
        <v>125</v>
      </c>
    </row>
    <row r="8" spans="1:7">
      <c r="A8" s="3" t="s">
        <v>27</v>
      </c>
      <c r="B8" s="3" t="s">
        <v>126</v>
      </c>
      <c r="C8" s="3" t="s">
        <v>127</v>
      </c>
      <c r="D8" s="3" t="s">
        <v>109</v>
      </c>
      <c r="E8" s="18" t="s">
        <v>124</v>
      </c>
      <c r="F8" s="3" t="s">
        <v>125</v>
      </c>
    </row>
    <row r="9" spans="1:7">
      <c r="A9" s="3" t="s">
        <v>29</v>
      </c>
      <c r="B9" s="3" t="s">
        <v>128</v>
      </c>
      <c r="C9" s="3" t="s">
        <v>129</v>
      </c>
      <c r="D9" s="3" t="s">
        <v>101</v>
      </c>
      <c r="E9" s="17" t="s">
        <v>130</v>
      </c>
      <c r="F9" s="3" t="s">
        <v>111</v>
      </c>
    </row>
    <row r="10" spans="1:7">
      <c r="A10" s="3" t="s">
        <v>18</v>
      </c>
      <c r="B10" s="3" t="s">
        <v>131</v>
      </c>
      <c r="C10" s="3" t="s">
        <v>132</v>
      </c>
      <c r="D10" s="3" t="s">
        <v>101</v>
      </c>
      <c r="E10" s="17" t="s">
        <v>133</v>
      </c>
      <c r="F10" s="3" t="s">
        <v>111</v>
      </c>
    </row>
    <row r="11" spans="1:7">
      <c r="A11" s="3" t="s">
        <v>102</v>
      </c>
      <c r="B11" s="3" t="s">
        <v>99</v>
      </c>
      <c r="C11" s="3" t="s">
        <v>100</v>
      </c>
      <c r="D11" s="3" t="s">
        <v>109</v>
      </c>
      <c r="E11" s="3" t="s">
        <v>102</v>
      </c>
      <c r="F11" s="3"/>
    </row>
    <row r="12" spans="1:7">
      <c r="A12" s="3" t="s">
        <v>134</v>
      </c>
      <c r="B12" s="3" t="s">
        <v>135</v>
      </c>
      <c r="C12" s="3" t="s">
        <v>136</v>
      </c>
      <c r="D12" s="3" t="s">
        <v>109</v>
      </c>
      <c r="E12" s="16" t="s">
        <v>137</v>
      </c>
      <c r="F12" s="3" t="s">
        <v>117</v>
      </c>
    </row>
    <row r="13" spans="1:7">
      <c r="A13" s="3" t="s">
        <v>31</v>
      </c>
      <c r="B13" s="3" t="s">
        <v>138</v>
      </c>
      <c r="C13" s="3" t="s">
        <v>139</v>
      </c>
      <c r="D13" s="3" t="s">
        <v>109</v>
      </c>
      <c r="E13" s="17" t="s">
        <v>140</v>
      </c>
      <c r="F13" s="3" t="s">
        <v>111</v>
      </c>
    </row>
    <row r="14" spans="1:7">
      <c r="A14" s="3" t="s">
        <v>35</v>
      </c>
      <c r="B14" s="3" t="s">
        <v>141</v>
      </c>
      <c r="C14" s="3" t="s">
        <v>142</v>
      </c>
      <c r="D14" s="3" t="s">
        <v>109</v>
      </c>
      <c r="E14" s="3" t="s">
        <v>143</v>
      </c>
    </row>
    <row r="15" spans="1:7">
      <c r="A15" s="3" t="s">
        <v>40</v>
      </c>
      <c r="B15" s="3" t="s">
        <v>124</v>
      </c>
      <c r="C15" s="3" t="s">
        <v>124</v>
      </c>
      <c r="D15" s="3" t="s">
        <v>124</v>
      </c>
      <c r="E15" s="18" t="s">
        <v>124</v>
      </c>
      <c r="F15" s="3" t="s">
        <v>125</v>
      </c>
    </row>
    <row r="16" spans="1:7">
      <c r="A16" s="3" t="s">
        <v>33</v>
      </c>
      <c r="B16" s="3" t="s">
        <v>144</v>
      </c>
      <c r="C16" s="3" t="s">
        <v>145</v>
      </c>
      <c r="D16" s="3" t="s">
        <v>109</v>
      </c>
      <c r="E16" s="3" t="s">
        <v>33</v>
      </c>
    </row>
    <row r="17" spans="1:7">
      <c r="A17" s="3" t="s">
        <v>42</v>
      </c>
      <c r="B17" s="3" t="s">
        <v>146</v>
      </c>
      <c r="C17" s="3" t="s">
        <v>124</v>
      </c>
      <c r="D17" s="3" t="s">
        <v>124</v>
      </c>
      <c r="E17" s="3" t="s">
        <v>147</v>
      </c>
      <c r="F17" s="3" t="s">
        <v>124</v>
      </c>
    </row>
    <row r="18" spans="1:7">
      <c r="A18" s="3" t="s">
        <v>148</v>
      </c>
      <c r="B18" s="3" t="s">
        <v>149</v>
      </c>
      <c r="C18" s="3" t="s">
        <v>150</v>
      </c>
      <c r="D18" s="3" t="s">
        <v>101</v>
      </c>
      <c r="E18" s="3" t="s">
        <v>151</v>
      </c>
    </row>
    <row r="19" spans="1:7">
      <c r="A19" s="3" t="s">
        <v>63</v>
      </c>
      <c r="B19" s="3" t="s">
        <v>152</v>
      </c>
      <c r="C19" s="3" t="s">
        <v>153</v>
      </c>
      <c r="D19" s="3" t="s">
        <v>109</v>
      </c>
      <c r="E19" s="3" t="s">
        <v>63</v>
      </c>
    </row>
    <row r="20" spans="1:7">
      <c r="A20" s="3" t="s">
        <v>64</v>
      </c>
      <c r="B20" s="3" t="s">
        <v>154</v>
      </c>
      <c r="C20" s="3" t="s">
        <v>155</v>
      </c>
      <c r="D20" s="3" t="s">
        <v>109</v>
      </c>
      <c r="E20" s="18" t="s">
        <v>124</v>
      </c>
      <c r="F20" s="3" t="s">
        <v>125</v>
      </c>
    </row>
    <row r="21" spans="1:7">
      <c r="A21" s="3" t="s">
        <v>68</v>
      </c>
      <c r="B21" s="19" t="s">
        <v>156</v>
      </c>
      <c r="C21" s="3" t="s">
        <v>157</v>
      </c>
      <c r="D21" s="3" t="s">
        <v>109</v>
      </c>
      <c r="E21" s="17" t="s">
        <v>158</v>
      </c>
      <c r="F21" s="3" t="s">
        <v>111</v>
      </c>
      <c r="G21" s="3" t="s">
        <v>112</v>
      </c>
    </row>
    <row r="22" spans="1:7">
      <c r="A22" s="3" t="s">
        <v>59</v>
      </c>
      <c r="B22" s="3" t="s">
        <v>159</v>
      </c>
      <c r="C22" s="3" t="s">
        <v>160</v>
      </c>
      <c r="D22" s="3" t="s">
        <v>101</v>
      </c>
      <c r="E22" s="3" t="s">
        <v>59</v>
      </c>
    </row>
    <row r="23" spans="1:7">
      <c r="A23" s="3" t="s">
        <v>56</v>
      </c>
      <c r="B23" s="19" t="s">
        <v>161</v>
      </c>
      <c r="C23" s="3" t="s">
        <v>162</v>
      </c>
      <c r="D23" s="3" t="s">
        <v>101</v>
      </c>
      <c r="E23" s="3" t="s">
        <v>56</v>
      </c>
      <c r="F23" s="3"/>
      <c r="G23" s="3" t="s">
        <v>163</v>
      </c>
    </row>
    <row r="24" spans="1:7">
      <c r="A24" s="3" t="s">
        <v>74</v>
      </c>
      <c r="B24" s="3" t="s">
        <v>164</v>
      </c>
      <c r="C24" s="3" t="s">
        <v>165</v>
      </c>
      <c r="D24" s="3" t="s">
        <v>101</v>
      </c>
      <c r="E24" s="3" t="s">
        <v>166</v>
      </c>
    </row>
    <row r="25" spans="1:7">
      <c r="A25" s="3" t="s">
        <v>78</v>
      </c>
      <c r="B25" s="3" t="s">
        <v>167</v>
      </c>
      <c r="C25" s="3" t="s">
        <v>168</v>
      </c>
      <c r="D25" s="3" t="s">
        <v>101</v>
      </c>
      <c r="E25" s="3" t="s">
        <v>78</v>
      </c>
    </row>
    <row r="26" spans="1:7">
      <c r="A26" s="3" t="s">
        <v>83</v>
      </c>
      <c r="B26" s="3" t="s">
        <v>169</v>
      </c>
      <c r="C26" s="3" t="s">
        <v>170</v>
      </c>
      <c r="D26" s="3" t="s">
        <v>101</v>
      </c>
      <c r="E26" s="17" t="s">
        <v>171</v>
      </c>
      <c r="F26" s="3" t="s">
        <v>111</v>
      </c>
      <c r="G26" s="3" t="s">
        <v>112</v>
      </c>
    </row>
    <row r="27" spans="1:7">
      <c r="A27" s="3" t="s">
        <v>86</v>
      </c>
      <c r="B27" s="3" t="s">
        <v>172</v>
      </c>
      <c r="C27" s="3" t="s">
        <v>173</v>
      </c>
      <c r="D27" s="3" t="s">
        <v>101</v>
      </c>
      <c r="E27" s="17" t="s">
        <v>174</v>
      </c>
      <c r="F27" s="3" t="s">
        <v>111</v>
      </c>
      <c r="G27" s="3" t="s">
        <v>112</v>
      </c>
    </row>
    <row r="28" spans="1:7">
      <c r="A28" s="4" t="s">
        <v>8</v>
      </c>
      <c r="B28" s="3" t="s">
        <v>175</v>
      </c>
      <c r="C28" s="3" t="s">
        <v>176</v>
      </c>
      <c r="D28" s="3" t="s">
        <v>124</v>
      </c>
      <c r="E28" s="3" t="s">
        <v>177</v>
      </c>
    </row>
    <row r="29" spans="1:7">
      <c r="A29" s="5" t="s">
        <v>13</v>
      </c>
      <c r="B29" s="3" t="s">
        <v>178</v>
      </c>
      <c r="C29" s="3" t="s">
        <v>179</v>
      </c>
      <c r="D29" s="3" t="s">
        <v>124</v>
      </c>
      <c r="E29" s="3" t="s">
        <v>180</v>
      </c>
    </row>
    <row r="30" spans="1:7">
      <c r="A30" s="7" t="s">
        <v>17</v>
      </c>
      <c r="B30" s="3" t="s">
        <v>181</v>
      </c>
      <c r="C30" s="3" t="s">
        <v>182</v>
      </c>
      <c r="D30" s="3" t="s">
        <v>124</v>
      </c>
      <c r="E30" s="3" t="s">
        <v>183</v>
      </c>
    </row>
    <row r="31" spans="1:7">
      <c r="A31" s="8" t="s">
        <v>25</v>
      </c>
      <c r="B31" s="3" t="s">
        <v>184</v>
      </c>
      <c r="C31" s="3" t="s">
        <v>185</v>
      </c>
      <c r="D31" s="3" t="s">
        <v>124</v>
      </c>
      <c r="E31" s="3" t="s">
        <v>186</v>
      </c>
    </row>
    <row r="32" spans="1:7">
      <c r="A32" s="7" t="s">
        <v>28</v>
      </c>
      <c r="B32" s="3" t="s">
        <v>187</v>
      </c>
      <c r="C32" s="3" t="s">
        <v>188</v>
      </c>
      <c r="D32" s="3" t="s">
        <v>124</v>
      </c>
      <c r="E32" s="18" t="s">
        <v>124</v>
      </c>
      <c r="F32" s="3" t="s">
        <v>125</v>
      </c>
    </row>
    <row r="33" spans="1:7">
      <c r="A33" s="7" t="s">
        <v>38</v>
      </c>
      <c r="B33" s="3" t="s">
        <v>189</v>
      </c>
      <c r="C33" s="3" t="s">
        <v>190</v>
      </c>
      <c r="D33" s="3" t="s">
        <v>124</v>
      </c>
      <c r="E33" s="18" t="s">
        <v>124</v>
      </c>
      <c r="F33" s="3" t="s">
        <v>125</v>
      </c>
    </row>
    <row r="34" spans="1:7">
      <c r="A34" s="7" t="s">
        <v>30</v>
      </c>
      <c r="B34" s="3" t="s">
        <v>191</v>
      </c>
      <c r="C34" s="3" t="s">
        <v>192</v>
      </c>
      <c r="D34" s="3" t="s">
        <v>101</v>
      </c>
      <c r="E34" s="3" t="s">
        <v>193</v>
      </c>
    </row>
    <row r="35" spans="1:7">
      <c r="A35" s="3" t="s">
        <v>34</v>
      </c>
      <c r="B35" s="3" t="s">
        <v>194</v>
      </c>
      <c r="C35" s="3" t="s">
        <v>195</v>
      </c>
      <c r="D35" s="3" t="s">
        <v>124</v>
      </c>
      <c r="E35" s="20" t="s">
        <v>124</v>
      </c>
      <c r="F35" s="6" t="s">
        <v>125</v>
      </c>
    </row>
    <row r="36" spans="1:7">
      <c r="A36" s="7" t="s">
        <v>43</v>
      </c>
      <c r="B36" s="3" t="s">
        <v>196</v>
      </c>
      <c r="C36" s="3" t="s">
        <v>197</v>
      </c>
      <c r="D36" s="3" t="s">
        <v>124</v>
      </c>
      <c r="E36" s="20" t="s">
        <v>124</v>
      </c>
      <c r="F36" s="6" t="s">
        <v>125</v>
      </c>
    </row>
    <row r="37" spans="1:7">
      <c r="A37" s="5" t="s">
        <v>44</v>
      </c>
      <c r="B37" s="3" t="s">
        <v>198</v>
      </c>
      <c r="C37" s="3" t="s">
        <v>199</v>
      </c>
      <c r="D37" s="3" t="s">
        <v>124</v>
      </c>
      <c r="E37" s="17" t="s">
        <v>200</v>
      </c>
      <c r="F37" s="3" t="s">
        <v>111</v>
      </c>
      <c r="G37" s="3"/>
    </row>
    <row r="38" spans="1:7">
      <c r="A38" s="5" t="s">
        <v>46</v>
      </c>
      <c r="B38" s="3" t="s">
        <v>201</v>
      </c>
      <c r="C38" s="3" t="s">
        <v>202</v>
      </c>
      <c r="D38" s="3" t="s">
        <v>124</v>
      </c>
      <c r="E38" s="3" t="s">
        <v>203</v>
      </c>
    </row>
    <row r="39" spans="1:7">
      <c r="A39" s="6" t="s">
        <v>47</v>
      </c>
      <c r="B39" s="3" t="s">
        <v>204</v>
      </c>
      <c r="C39" s="3" t="s">
        <v>205</v>
      </c>
      <c r="D39" s="3" t="s">
        <v>124</v>
      </c>
      <c r="E39" s="3" t="s">
        <v>206</v>
      </c>
    </row>
    <row r="40" spans="1:7">
      <c r="A40" s="3" t="s">
        <v>49</v>
      </c>
      <c r="B40" s="3" t="s">
        <v>207</v>
      </c>
      <c r="C40" s="3" t="s">
        <v>208</v>
      </c>
      <c r="D40" s="3" t="s">
        <v>124</v>
      </c>
      <c r="E40" s="3" t="s">
        <v>209</v>
      </c>
    </row>
    <row r="41" spans="1:7">
      <c r="A41" s="5" t="s">
        <v>66</v>
      </c>
      <c r="B41" s="3" t="s">
        <v>210</v>
      </c>
      <c r="C41" s="3" t="s">
        <v>211</v>
      </c>
      <c r="D41" s="3" t="s">
        <v>124</v>
      </c>
      <c r="E41" s="16" t="s">
        <v>212</v>
      </c>
      <c r="F41" s="3" t="s">
        <v>213</v>
      </c>
      <c r="G41" s="3" t="s">
        <v>112</v>
      </c>
    </row>
    <row r="42" spans="1:7">
      <c r="A42" s="5" t="s">
        <v>69</v>
      </c>
      <c r="B42" s="3" t="s">
        <v>214</v>
      </c>
      <c r="C42" s="3" t="s">
        <v>215</v>
      </c>
      <c r="D42" s="3" t="s">
        <v>124</v>
      </c>
      <c r="E42" s="16" t="s">
        <v>216</v>
      </c>
      <c r="F42" s="3" t="s">
        <v>217</v>
      </c>
      <c r="G42" s="3" t="s">
        <v>112</v>
      </c>
    </row>
    <row r="43" spans="1:7">
      <c r="A43" s="5" t="s">
        <v>72</v>
      </c>
      <c r="B43" s="3" t="s">
        <v>218</v>
      </c>
      <c r="C43" s="3" t="s">
        <v>219</v>
      </c>
      <c r="D43" s="3" t="s">
        <v>124</v>
      </c>
      <c r="E43" s="3" t="s">
        <v>218</v>
      </c>
    </row>
    <row r="44" spans="1:7">
      <c r="A44" s="7" t="s">
        <v>73</v>
      </c>
      <c r="B44" s="3" t="s">
        <v>220</v>
      </c>
      <c r="C44" s="3" t="s">
        <v>221</v>
      </c>
      <c r="D44" s="3" t="s">
        <v>124</v>
      </c>
      <c r="E44" s="18" t="s">
        <v>124</v>
      </c>
      <c r="F44" s="3" t="s">
        <v>125</v>
      </c>
    </row>
    <row r="45" spans="1:7">
      <c r="A45" s="5" t="s">
        <v>77</v>
      </c>
      <c r="B45" s="3" t="s">
        <v>222</v>
      </c>
      <c r="C45" s="3" t="s">
        <v>223</v>
      </c>
      <c r="D45" s="3" t="s">
        <v>124</v>
      </c>
      <c r="E45" s="3" t="s">
        <v>224</v>
      </c>
    </row>
    <row r="46" spans="1:7">
      <c r="A46" s="5" t="s">
        <v>79</v>
      </c>
      <c r="B46" s="3" t="s">
        <v>225</v>
      </c>
      <c r="C46" s="3" t="s">
        <v>226</v>
      </c>
      <c r="D46" s="3" t="s">
        <v>124</v>
      </c>
      <c r="E46" s="20" t="s">
        <v>124</v>
      </c>
      <c r="F46" s="6" t="s">
        <v>125</v>
      </c>
    </row>
    <row r="47" spans="1:7">
      <c r="A47" s="6" t="s">
        <v>82</v>
      </c>
      <c r="B47" s="3" t="s">
        <v>227</v>
      </c>
      <c r="C47" s="3" t="s">
        <v>228</v>
      </c>
      <c r="D47" s="3" t="s">
        <v>124</v>
      </c>
      <c r="E47" s="20" t="s">
        <v>124</v>
      </c>
      <c r="F47" s="6" t="s">
        <v>125</v>
      </c>
    </row>
    <row r="48" spans="1:7">
      <c r="A48" s="5" t="s">
        <v>85</v>
      </c>
      <c r="B48" s="3" t="s">
        <v>229</v>
      </c>
      <c r="C48" s="3" t="s">
        <v>230</v>
      </c>
      <c r="D48" s="3" t="s">
        <v>124</v>
      </c>
      <c r="E48" s="17" t="s">
        <v>231</v>
      </c>
      <c r="F48" s="3" t="s">
        <v>111</v>
      </c>
      <c r="G48" s="3" t="s">
        <v>112</v>
      </c>
    </row>
    <row r="49" spans="1:7">
      <c r="A49" s="5" t="s">
        <v>87</v>
      </c>
      <c r="B49" s="3" t="s">
        <v>232</v>
      </c>
      <c r="C49" s="3" t="s">
        <v>233</v>
      </c>
      <c r="D49" s="3" t="s">
        <v>124</v>
      </c>
      <c r="E49" s="3" t="s">
        <v>234</v>
      </c>
    </row>
    <row r="50" spans="1:7">
      <c r="A50" s="4" t="s">
        <v>89</v>
      </c>
      <c r="B50" s="3" t="s">
        <v>235</v>
      </c>
      <c r="C50" s="3" t="s">
        <v>236</v>
      </c>
      <c r="D50" s="3" t="s">
        <v>124</v>
      </c>
      <c r="E50" s="17" t="s">
        <v>237</v>
      </c>
      <c r="F50" s="3" t="s">
        <v>111</v>
      </c>
      <c r="G50" s="3" t="s">
        <v>112</v>
      </c>
    </row>
    <row r="51" spans="1:7">
      <c r="A51" s="3" t="s">
        <v>76</v>
      </c>
      <c r="B51" s="3" t="s">
        <v>238</v>
      </c>
      <c r="C51" s="3" t="s">
        <v>239</v>
      </c>
      <c r="D51" s="3" t="s">
        <v>124</v>
      </c>
      <c r="E51" s="16" t="s">
        <v>240</v>
      </c>
      <c r="F51" s="3" t="s">
        <v>213</v>
      </c>
    </row>
    <row r="52" spans="1:7">
      <c r="A52" s="3" t="s">
        <v>55</v>
      </c>
      <c r="B52" s="3" t="s">
        <v>241</v>
      </c>
      <c r="C52" s="3" t="s">
        <v>242</v>
      </c>
      <c r="D52" s="3" t="s">
        <v>124</v>
      </c>
      <c r="E52" s="3" t="s">
        <v>241</v>
      </c>
    </row>
    <row r="53" spans="1:7">
      <c r="A53" s="3" t="s">
        <v>243</v>
      </c>
      <c r="B53" s="3" t="s">
        <v>244</v>
      </c>
      <c r="C53" s="3" t="s">
        <v>245</v>
      </c>
      <c r="D53" s="3" t="s">
        <v>124</v>
      </c>
      <c r="E53" s="18" t="s">
        <v>124</v>
      </c>
    </row>
    <row r="54" spans="1:7">
      <c r="A54" s="3" t="s">
        <v>246</v>
      </c>
      <c r="B54" s="3" t="s">
        <v>247</v>
      </c>
      <c r="C54" s="3" t="s">
        <v>248</v>
      </c>
      <c r="D54" s="3" t="s">
        <v>124</v>
      </c>
      <c r="E54" s="18" t="s">
        <v>124</v>
      </c>
    </row>
    <row r="55" spans="1:7">
      <c r="A55" s="3" t="s">
        <v>57</v>
      </c>
      <c r="B55" s="3" t="s">
        <v>249</v>
      </c>
      <c r="C55" s="3" t="s">
        <v>250</v>
      </c>
      <c r="D55" s="3" t="s">
        <v>124</v>
      </c>
      <c r="E55" s="18" t="s">
        <v>124</v>
      </c>
    </row>
    <row r="56" spans="1:7">
      <c r="A56" s="3" t="s">
        <v>251</v>
      </c>
      <c r="B56" s="3" t="s">
        <v>252</v>
      </c>
      <c r="C56" s="3" t="s">
        <v>253</v>
      </c>
      <c r="D56" s="3" t="s">
        <v>124</v>
      </c>
      <c r="E56" s="3" t="s">
        <v>254</v>
      </c>
    </row>
    <row r="57" spans="1:7">
      <c r="A57" s="3" t="s">
        <v>32</v>
      </c>
      <c r="B57" s="3" t="s">
        <v>255</v>
      </c>
      <c r="C57" s="3" t="s">
        <v>256</v>
      </c>
      <c r="D57" s="3" t="s">
        <v>124</v>
      </c>
      <c r="E57" s="17" t="s">
        <v>257</v>
      </c>
      <c r="F57" s="3" t="s">
        <v>111</v>
      </c>
      <c r="G57" s="3"/>
    </row>
    <row r="58" spans="1:7">
      <c r="A58" s="3" t="s">
        <v>61</v>
      </c>
      <c r="B58" s="3" t="s">
        <v>258</v>
      </c>
      <c r="C58" s="3" t="s">
        <v>259</v>
      </c>
      <c r="D58" s="3" t="s">
        <v>124</v>
      </c>
      <c r="E58" s="3" t="s">
        <v>258</v>
      </c>
    </row>
    <row r="59" spans="1:7">
      <c r="A59" s="3" t="s">
        <v>90</v>
      </c>
      <c r="B59" s="3" t="s">
        <v>260</v>
      </c>
      <c r="C59" s="3" t="s">
        <v>261</v>
      </c>
      <c r="D59" s="3" t="s">
        <v>124</v>
      </c>
      <c r="E59" s="3" t="s">
        <v>262</v>
      </c>
    </row>
    <row r="60" spans="1:7">
      <c r="A60" s="3" t="s">
        <v>263</v>
      </c>
      <c r="B60" s="3" t="s">
        <v>264</v>
      </c>
      <c r="C60" s="3" t="s">
        <v>265</v>
      </c>
      <c r="D60" s="3" t="s">
        <v>124</v>
      </c>
      <c r="E60" s="18" t="s">
        <v>124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B998"/>
  <sheetViews>
    <sheetView workbookViewId="0"/>
  </sheetViews>
  <sheetFormatPr baseColWidth="10" defaultColWidth="11.1640625" defaultRowHeight="15" customHeight="1"/>
  <cols>
    <col min="1" max="26" width="10.5" customWidth="1"/>
  </cols>
  <sheetData>
    <row r="1" spans="1:2" ht="15.75" customHeight="1"/>
    <row r="2" spans="1:2" ht="15.75" customHeight="1">
      <c r="A2" s="22" t="s">
        <v>266</v>
      </c>
      <c r="B2" s="23"/>
    </row>
    <row r="3" spans="1:2" ht="15.75" customHeight="1">
      <c r="A3" s="24"/>
      <c r="B3" s="25"/>
    </row>
    <row r="4" spans="1:2" ht="15.75" customHeight="1"/>
    <row r="5" spans="1:2" ht="15.75" customHeight="1">
      <c r="A5" s="26" t="s">
        <v>267</v>
      </c>
      <c r="B5" s="27"/>
    </row>
    <row r="6" spans="1:2" ht="15.75" customHeight="1">
      <c r="A6" s="27"/>
      <c r="B6" s="27"/>
    </row>
    <row r="7" spans="1:2" ht="15.75" customHeight="1"/>
    <row r="8" spans="1:2" ht="15.75" customHeight="1">
      <c r="A8" s="28" t="s">
        <v>268</v>
      </c>
      <c r="B8" s="27"/>
    </row>
    <row r="9" spans="1:2" ht="15.75" customHeight="1">
      <c r="A9" s="27"/>
      <c r="B9" s="27"/>
    </row>
    <row r="10" spans="1:2" ht="15.75" customHeight="1"/>
    <row r="11" spans="1:2" ht="15.75" customHeight="1">
      <c r="A11" s="29" t="s">
        <v>269</v>
      </c>
      <c r="B11" s="23"/>
    </row>
    <row r="12" spans="1:2" ht="15.75" customHeight="1">
      <c r="A12" s="24"/>
      <c r="B12" s="25"/>
    </row>
    <row r="13" spans="1:2" ht="15.75" customHeight="1"/>
    <row r="14" spans="1:2" ht="15.75" customHeight="1">
      <c r="A14" s="27"/>
      <c r="B14" s="27"/>
    </row>
    <row r="15" spans="1:2" ht="15.75" customHeight="1">
      <c r="A15" s="27"/>
      <c r="B15" s="27"/>
    </row>
    <row r="16" spans="1:2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5">
    <mergeCell ref="A2:B3"/>
    <mergeCell ref="A5:B6"/>
    <mergeCell ref="A8:B9"/>
    <mergeCell ref="A11:B12"/>
    <mergeCell ref="A14:B15"/>
  </mergeCells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Cell_Phenotype_KG_Schema_v2</vt:lpstr>
      <vt:lpstr>ontology classesrelations</vt:lpstr>
      <vt:lpstr>color codes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Diller, Matthew (NIH/NLM/NCBI) [F]</dc:creator>
  <cp:lastModifiedBy>Xu, Bingfang Ruth</cp:lastModifiedBy>
  <dcterms:created xsi:type="dcterms:W3CDTF">2024-09-03T13:45:59Z</dcterms:created>
  <dcterms:modified xsi:type="dcterms:W3CDTF">2024-10-31T18:45:04Z</dcterms:modified>
</cp:coreProperties>
</file>