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defaultThemeVersion="202300"/>
  <mc:AlternateContent xmlns:mc="http://schemas.openxmlformats.org/markup-compatibility/2006">
    <mc:Choice Requires="x15">
      <x15ac:absPath xmlns:x15ac="http://schemas.microsoft.com/office/spreadsheetml/2010/11/ac" url="/Users/bingfang/local_project/Arangodb/cell2knowledge/data/"/>
    </mc:Choice>
  </mc:AlternateContent>
  <xr:revisionPtr revIDLastSave="0" documentId="13_ncr:1_{BB0A425C-B1B0-8E4D-873C-7BC138B6A420}" xr6:coauthVersionLast="47" xr6:coauthVersionMax="47" xr10:uidLastSave="{00000000-0000-0000-0000-000000000000}"/>
  <bookViews>
    <workbookView xWindow="7220" yWindow="500" windowWidth="37020" windowHeight="19960" xr2:uid="{6B3D6D74-5198-184F-BC44-B1D0E7984836}"/>
  </bookViews>
  <sheets>
    <sheet name="HLCA_CellRef_matching_ver3_impo" sheetId="1" r:id="rId1"/>
  </sheets>
  <definedNames>
    <definedName name="_xlnm._FilterDatabase" localSheetId="0" hidden="1">HLCA_CellRef_matching_ver3_impo!$A$1:$AJ$70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1" i="1" l="1"/>
  <c r="P29" i="1"/>
  <c r="P30" i="1"/>
  <c r="P43" i="1"/>
  <c r="P28" i="1"/>
  <c r="P27" i="1"/>
  <c r="P26" i="1"/>
  <c r="P42" i="1"/>
  <c r="P25" i="1"/>
  <c r="P24" i="1"/>
  <c r="P40" i="1"/>
  <c r="P39" i="1"/>
  <c r="P38" i="1"/>
  <c r="P23" i="1"/>
  <c r="P22" i="1"/>
  <c r="P21" i="1"/>
  <c r="P20" i="1"/>
  <c r="P19" i="1"/>
  <c r="P18" i="1"/>
  <c r="P37" i="1"/>
  <c r="P17" i="1"/>
  <c r="P16" i="1"/>
  <c r="P36" i="1"/>
  <c r="P15" i="1"/>
  <c r="P14" i="1"/>
  <c r="P13" i="1"/>
  <c r="P12" i="1"/>
  <c r="P11" i="1"/>
  <c r="P10" i="1"/>
  <c r="P9" i="1"/>
  <c r="P8" i="1"/>
  <c r="P7" i="1"/>
  <c r="P6" i="1"/>
  <c r="P5" i="1"/>
  <c r="P35" i="1"/>
  <c r="P4" i="1"/>
  <c r="P34" i="1"/>
  <c r="P33" i="1"/>
  <c r="P32" i="1"/>
  <c r="P31" i="1"/>
  <c r="P3" i="1"/>
</calcChain>
</file>

<file path=xl/sharedStrings.xml><?xml version="1.0" encoding="utf-8"?>
<sst xmlns="http://schemas.openxmlformats.org/spreadsheetml/2006/main" count="1401" uniqueCount="631">
  <si>
    <t>HLCA hierarchical cluster order</t>
  </si>
  <si>
    <t>Dendrogram-driven parent class</t>
  </si>
  <si>
    <t>HLCA_ClusterName</t>
  </si>
  <si>
    <t>CellRef_ClusterName</t>
  </si>
  <si>
    <t>HLCA_ClusterSize</t>
  </si>
  <si>
    <t>CellRef_ClusterSize</t>
  </si>
  <si>
    <t>HLCA_CluserSize/CellRef_ClusterSize</t>
  </si>
  <si>
    <t>HLCA_Fbeta</t>
  </si>
  <si>
    <t>CellRef_Fbeta</t>
  </si>
  <si>
    <t>HLCA_MarkerCount</t>
  </si>
  <si>
    <t>CellRef_MarkerCount</t>
  </si>
  <si>
    <t>HLCA_NSForestMarkers</t>
  </si>
  <si>
    <t>CellRef_NSForestMarkers</t>
  </si>
  <si>
    <t>HLCA_BinaryGenes</t>
  </si>
  <si>
    <t>CellRef_BinaryGenes</t>
  </si>
  <si>
    <t>Macrophage</t>
  </si>
  <si>
    <t>Alveolar Mph MT-positive</t>
  </si>
  <si>
    <t>N</t>
  </si>
  <si>
    <t>['HMOX1', 'HPGD']</t>
  </si>
  <si>
    <t>['MT1G', 'KCNMA1', 'MT1F', 'HMOX1', 'HPGD', 'EFHD2', 'MT1X', 'MT1E', 'RAB11FIP1', 'CSTB']</t>
  </si>
  <si>
    <t>Alveolar Mph CCL3+</t>
  </si>
  <si>
    <t>['TNIP3', 'CXCL5']</t>
  </si>
  <si>
    <t>['TNIP3', 'CCL4L2', 'CCL20', 'CXCL5', 'TNFAIP6', 'TRGC1', 'ITGB8', 'MIR3945HG', 'IL1B', 'CCL4']</t>
  </si>
  <si>
    <t>Alveolar macrophage</t>
  </si>
  <si>
    <t>Y</t>
  </si>
  <si>
    <r>
      <t>['</t>
    </r>
    <r>
      <rPr>
        <sz val="12"/>
        <color rgb="FFC00000"/>
        <rFont val="Arial"/>
        <family val="2"/>
      </rPr>
      <t>MSR1</t>
    </r>
    <r>
      <rPr>
        <sz val="12"/>
        <color theme="1"/>
        <rFont val="Arial"/>
        <family val="2"/>
      </rPr>
      <t>', '</t>
    </r>
    <r>
      <rPr>
        <sz val="12"/>
        <color rgb="FFC00000"/>
        <rFont val="Arial"/>
        <family val="2"/>
      </rPr>
      <t>FABP4</t>
    </r>
    <r>
      <rPr>
        <sz val="12"/>
        <color theme="1"/>
        <rFont val="Arial"/>
        <family val="2"/>
      </rPr>
      <t>']</t>
    </r>
  </si>
  <si>
    <r>
      <t>['MCEMP1', '</t>
    </r>
    <r>
      <rPr>
        <sz val="12"/>
        <color rgb="FFC00000"/>
        <rFont val="Arial"/>
        <family val="2"/>
      </rPr>
      <t>ACP5</t>
    </r>
    <r>
      <rPr>
        <sz val="12"/>
        <color theme="1"/>
        <rFont val="Arial"/>
        <family val="2"/>
      </rPr>
      <t>']</t>
    </r>
  </si>
  <si>
    <r>
      <t>['INHBA', 'PARAL1', 'MSR1', 'RP11-598F7.3', 'FABP4', 'FBP1', 'MARCO', '</t>
    </r>
    <r>
      <rPr>
        <sz val="12"/>
        <color rgb="FFC00000"/>
        <rFont val="Arial"/>
        <family val="2"/>
      </rPr>
      <t>ACP5</t>
    </r>
    <r>
      <rPr>
        <sz val="12"/>
        <color theme="1"/>
        <rFont val="Arial"/>
        <family val="2"/>
      </rPr>
      <t>', 'APOC1', 'C1QB']</t>
    </r>
  </si>
  <si>
    <r>
      <t>['MARCO', 'MCEMP1', 'FBP1', 'ACP5', '</t>
    </r>
    <r>
      <rPr>
        <sz val="12"/>
        <color rgb="FFC00000"/>
        <rFont val="Arial"/>
        <family val="2"/>
      </rPr>
      <t>FABP4</t>
    </r>
    <r>
      <rPr>
        <sz val="12"/>
        <color theme="1"/>
        <rFont val="Arial"/>
        <family val="2"/>
      </rPr>
      <t>', '</t>
    </r>
    <r>
      <rPr>
        <sz val="12"/>
        <color rgb="FFC00000"/>
        <rFont val="Arial"/>
        <family val="2"/>
      </rPr>
      <t>MSR1</t>
    </r>
    <r>
      <rPr>
        <sz val="12"/>
        <color theme="1"/>
        <rFont val="Arial"/>
        <family val="2"/>
      </rPr>
      <t>', 'OLR1', 'C1QC', 'GPNMB', 'C1QB']</t>
    </r>
  </si>
  <si>
    <t>Alveolar Mph proliferating</t>
  </si>
  <si>
    <t>['PCLAF', 'RRM2', 'UBE2C', 'NUSAP1']</t>
  </si>
  <si>
    <t>['PCLAF', 'RRM2', 'MKI67', 'UBE2C', 'CDK1', 'NUSAP1', 'BIRC5', 'TOP2A', 'TYMS', 'FABP4']</t>
  </si>
  <si>
    <t>Dendritic cell</t>
  </si>
  <si>
    <t>DC2</t>
  </si>
  <si>
    <t>Classical DC subset 2</t>
  </si>
  <si>
    <r>
      <t>['</t>
    </r>
    <r>
      <rPr>
        <sz val="12"/>
        <color rgb="FF00B050"/>
        <rFont val="Arial"/>
        <family val="2"/>
      </rPr>
      <t>CLEC10A</t>
    </r>
    <r>
      <rPr>
        <sz val="12"/>
        <color theme="1"/>
        <rFont val="Arial"/>
        <family val="2"/>
      </rPr>
      <t>', '</t>
    </r>
    <r>
      <rPr>
        <sz val="12"/>
        <color rgb="FFC00000"/>
        <rFont val="Arial"/>
        <family val="2"/>
      </rPr>
      <t>HLA-DQA1</t>
    </r>
    <r>
      <rPr>
        <sz val="12"/>
        <color theme="1"/>
        <rFont val="Arial"/>
        <family val="2"/>
      </rPr>
      <t>']</t>
    </r>
  </si>
  <si>
    <r>
      <t>['</t>
    </r>
    <r>
      <rPr>
        <sz val="12"/>
        <color rgb="FF00B050"/>
        <rFont val="Arial"/>
        <family val="2"/>
      </rPr>
      <t>CLEC10A</t>
    </r>
    <r>
      <rPr>
        <sz val="12"/>
        <color theme="1"/>
        <rFont val="Arial"/>
        <family val="2"/>
      </rPr>
      <t>', 'PKIB']</t>
    </r>
  </si>
  <si>
    <r>
      <t>['</t>
    </r>
    <r>
      <rPr>
        <sz val="12"/>
        <color rgb="FF00B050"/>
        <rFont val="Arial"/>
        <family val="2"/>
      </rPr>
      <t>CLEC10A</t>
    </r>
    <r>
      <rPr>
        <sz val="12"/>
        <color theme="1"/>
        <rFont val="Arial"/>
        <family val="2"/>
      </rPr>
      <t>', 'RGS1', 'GPR183', 'MS4A6A', 'HLA-DQA1', 'C1QA', 'C1QB', 'HLA-DQB1', 'CD68', 'HLA-DPB1']</t>
    </r>
  </si>
  <si>
    <r>
      <t>['</t>
    </r>
    <r>
      <rPr>
        <sz val="12"/>
        <color rgb="FF00B050"/>
        <rFont val="Arial"/>
        <family val="2"/>
      </rPr>
      <t>CLEC10A</t>
    </r>
    <r>
      <rPr>
        <sz val="12"/>
        <color theme="1"/>
        <rFont val="Arial"/>
        <family val="2"/>
      </rPr>
      <t>', 'FCGR2B', 'JAML', 'CSF2RA', 'GPR183', 'PKIB', 'AREG', '</t>
    </r>
    <r>
      <rPr>
        <sz val="12"/>
        <color rgb="FFC00000"/>
        <rFont val="Arial"/>
        <family val="2"/>
      </rPr>
      <t>HLA-DQA1</t>
    </r>
    <r>
      <rPr>
        <sz val="12"/>
        <color theme="1"/>
        <rFont val="Arial"/>
        <family val="2"/>
      </rPr>
      <t>', 'RGS1', 'HLA-DQB1']</t>
    </r>
  </si>
  <si>
    <t>DC1</t>
  </si>
  <si>
    <t>Classical DC subset 1</t>
  </si>
  <si>
    <r>
      <t>['</t>
    </r>
    <r>
      <rPr>
        <sz val="12"/>
        <color rgb="FF00B050"/>
        <rFont val="Arial"/>
        <family val="2"/>
      </rPr>
      <t>CLEC9A</t>
    </r>
    <r>
      <rPr>
        <sz val="12"/>
        <color theme="1"/>
        <rFont val="Arial"/>
        <family val="2"/>
      </rPr>
      <t>', 'DNASE1L3']</t>
    </r>
  </si>
  <si>
    <r>
      <t>['</t>
    </r>
    <r>
      <rPr>
        <sz val="12"/>
        <color rgb="FF00B050"/>
        <rFont val="Arial"/>
        <family val="2"/>
      </rPr>
      <t>CLEC9A</t>
    </r>
    <r>
      <rPr>
        <sz val="12"/>
        <color theme="1"/>
        <rFont val="Arial"/>
        <family val="2"/>
      </rPr>
      <t>', '</t>
    </r>
    <r>
      <rPr>
        <sz val="12"/>
        <color rgb="FFC00000"/>
        <rFont val="Arial"/>
        <family val="2"/>
      </rPr>
      <t>IDO1</t>
    </r>
    <r>
      <rPr>
        <sz val="12"/>
        <color theme="1"/>
        <rFont val="Arial"/>
        <family val="2"/>
      </rPr>
      <t>']</t>
    </r>
  </si>
  <si>
    <r>
      <t>['</t>
    </r>
    <r>
      <rPr>
        <sz val="12"/>
        <color rgb="FF00B050"/>
        <rFont val="Arial"/>
        <family val="2"/>
      </rPr>
      <t>CLEC9A</t>
    </r>
    <r>
      <rPr>
        <sz val="12"/>
        <color theme="1"/>
        <rFont val="Arial"/>
        <family val="2"/>
      </rPr>
      <t>', 'WDFY4', 'C1orf54', 'HLA-DOB', 'DNASE1L3', '</t>
    </r>
    <r>
      <rPr>
        <sz val="12"/>
        <color rgb="FFC00000"/>
        <rFont val="Arial"/>
        <family val="2"/>
      </rPr>
      <t>IDO1</t>
    </r>
    <r>
      <rPr>
        <sz val="12"/>
        <color theme="1"/>
        <rFont val="Arial"/>
        <family val="2"/>
      </rPr>
      <t>', 'CLNK', 'CPNE3', 'IRF8', 'CPVL']</t>
    </r>
  </si>
  <si>
    <r>
      <t>['</t>
    </r>
    <r>
      <rPr>
        <sz val="12"/>
        <color rgb="FF00B050"/>
        <rFont val="Arial"/>
        <family val="2"/>
      </rPr>
      <t>CLEC9A</t>
    </r>
    <r>
      <rPr>
        <sz val="12"/>
        <color theme="1"/>
        <rFont val="Arial"/>
        <family val="2"/>
      </rPr>
      <t>', 'WDFY4', 'C1orf54', 'AC099560.1', 'RAB7B', 'IDO1', 'CPVL', 'CLNK', 'IRF8', 'S100B']</t>
    </r>
  </si>
  <si>
    <t>Migratory DCs</t>
  </si>
  <si>
    <t>Mature DC subset</t>
  </si>
  <si>
    <r>
      <t>['</t>
    </r>
    <r>
      <rPr>
        <sz val="12"/>
        <color rgb="FF00B050"/>
        <rFont val="Arial"/>
        <family val="2"/>
      </rPr>
      <t>CCL22</t>
    </r>
    <r>
      <rPr>
        <sz val="12"/>
        <color theme="1"/>
        <rFont val="Arial"/>
        <family val="2"/>
      </rPr>
      <t>']</t>
    </r>
  </si>
  <si>
    <r>
      <t>['</t>
    </r>
    <r>
      <rPr>
        <sz val="12"/>
        <color rgb="FF00B050"/>
        <rFont val="Arial"/>
        <family val="2"/>
      </rPr>
      <t>CCL22</t>
    </r>
    <r>
      <rPr>
        <sz val="12"/>
        <color theme="1"/>
        <rFont val="Arial"/>
        <family val="2"/>
      </rPr>
      <t>', 'CCR7', 'RASSF4', 'TBC1D4', 'CCL17', 'GPR157', 'LAD1', 'CSF2RA', 'FSCN1', 'DAPP1']</t>
    </r>
  </si>
  <si>
    <r>
      <t>['</t>
    </r>
    <r>
      <rPr>
        <sz val="12"/>
        <color rgb="FF00B050"/>
        <rFont val="Arial"/>
        <family val="2"/>
      </rPr>
      <t>CCL22</t>
    </r>
    <r>
      <rPr>
        <sz val="12"/>
        <color theme="1"/>
        <rFont val="Arial"/>
        <family val="2"/>
      </rPr>
      <t>', 'CCR7', 'GPR157', 'FSCN1', 'CERS6', 'ANKRD33B', 'KDM2B', 'TRAF1', 'BIRC3', 'LAMP3']</t>
    </r>
  </si>
  <si>
    <t>Monocyte/macrophage</t>
  </si>
  <si>
    <t>Classical monocyte</t>
  </si>
  <si>
    <t>Inflammatory monocyte</t>
  </si>
  <si>
    <r>
      <t>['</t>
    </r>
    <r>
      <rPr>
        <sz val="12"/>
        <color rgb="FFC00000"/>
        <rFont val="Arial"/>
        <family val="2"/>
      </rPr>
      <t>S100A12</t>
    </r>
    <r>
      <rPr>
        <sz val="12"/>
        <color theme="1"/>
        <rFont val="Arial"/>
        <family val="2"/>
      </rPr>
      <t>', '</t>
    </r>
    <r>
      <rPr>
        <sz val="12"/>
        <color rgb="FFC00000"/>
        <rFont val="Arial"/>
        <family val="2"/>
      </rPr>
      <t>FCN1</t>
    </r>
    <r>
      <rPr>
        <sz val="12"/>
        <color theme="1"/>
        <rFont val="Arial"/>
        <family val="2"/>
      </rPr>
      <t>']</t>
    </r>
  </si>
  <si>
    <r>
      <t>['</t>
    </r>
    <r>
      <rPr>
        <sz val="12"/>
        <color rgb="FFC00000"/>
        <rFont val="Arial"/>
        <family val="2"/>
      </rPr>
      <t>VCAN</t>
    </r>
    <r>
      <rPr>
        <sz val="12"/>
        <color theme="1"/>
        <rFont val="Arial"/>
        <family val="2"/>
      </rPr>
      <t>', '</t>
    </r>
    <r>
      <rPr>
        <sz val="12"/>
        <color rgb="FFC00000"/>
        <rFont val="Arial"/>
        <family val="2"/>
      </rPr>
      <t>S100A8</t>
    </r>
    <r>
      <rPr>
        <sz val="12"/>
        <color theme="1"/>
        <rFont val="Arial"/>
        <family val="2"/>
      </rPr>
      <t>']</t>
    </r>
  </si>
  <si>
    <r>
      <t>['S100A12', 'CD300E', 'EREG', 'FCN1', '</t>
    </r>
    <r>
      <rPr>
        <sz val="12"/>
        <color rgb="FFC00000"/>
        <rFont val="Arial"/>
        <family val="2"/>
      </rPr>
      <t>VCAN</t>
    </r>
    <r>
      <rPr>
        <sz val="12"/>
        <color theme="1"/>
        <rFont val="Arial"/>
        <family val="2"/>
      </rPr>
      <t>', 'CFP', '</t>
    </r>
    <r>
      <rPr>
        <sz val="12"/>
        <color rgb="FFC00000"/>
        <rFont val="Arial"/>
        <family val="2"/>
      </rPr>
      <t>S100A8</t>
    </r>
    <r>
      <rPr>
        <sz val="12"/>
        <color theme="1"/>
        <rFont val="Arial"/>
        <family val="2"/>
      </rPr>
      <t>', 'THBS1', 'MNDA', 'S100A9']</t>
    </r>
  </si>
  <si>
    <r>
      <t>['EREG', 'VCAN', '</t>
    </r>
    <r>
      <rPr>
        <sz val="12"/>
        <color rgb="FFC00000"/>
        <rFont val="Arial"/>
        <family val="2"/>
      </rPr>
      <t>S100A12</t>
    </r>
    <r>
      <rPr>
        <sz val="12"/>
        <color theme="1"/>
        <rFont val="Arial"/>
        <family val="2"/>
      </rPr>
      <t>', '</t>
    </r>
    <r>
      <rPr>
        <sz val="12"/>
        <color rgb="FFC00000"/>
        <rFont val="Arial"/>
        <family val="2"/>
      </rPr>
      <t>FCN1</t>
    </r>
    <r>
      <rPr>
        <sz val="12"/>
        <color theme="1"/>
        <rFont val="Arial"/>
        <family val="2"/>
      </rPr>
      <t>', 'THBS1', 'S100A8', 'IL1R2', 'JARID2', 'PLAUR', 'C5AR1']</t>
    </r>
  </si>
  <si>
    <t>Non-classical monocyte</t>
  </si>
  <si>
    <t>Patrolling monocyte</t>
  </si>
  <si>
    <r>
      <t>['</t>
    </r>
    <r>
      <rPr>
        <sz val="12"/>
        <color rgb="FF00B050"/>
        <rFont val="Arial"/>
        <family val="2"/>
      </rPr>
      <t>LILRB2</t>
    </r>
    <r>
      <rPr>
        <sz val="12"/>
        <color theme="1"/>
        <rFont val="Arial"/>
        <family val="2"/>
      </rPr>
      <t>', '</t>
    </r>
    <r>
      <rPr>
        <sz val="12"/>
        <color rgb="FFC00000"/>
        <rFont val="Arial"/>
        <family val="2"/>
      </rPr>
      <t>LILRB1</t>
    </r>
    <r>
      <rPr>
        <sz val="12"/>
        <color theme="1"/>
        <rFont val="Arial"/>
        <family val="2"/>
      </rPr>
      <t>']</t>
    </r>
  </si>
  <si>
    <r>
      <t>['</t>
    </r>
    <r>
      <rPr>
        <sz val="12"/>
        <color rgb="FF00B050"/>
        <rFont val="Arial"/>
        <family val="2"/>
      </rPr>
      <t>LILRB2</t>
    </r>
    <r>
      <rPr>
        <sz val="12"/>
        <color theme="1"/>
        <rFont val="Arial"/>
        <family val="2"/>
      </rPr>
      <t>', 'POU2F2']</t>
    </r>
  </si>
  <si>
    <r>
      <t>['</t>
    </r>
    <r>
      <rPr>
        <sz val="12"/>
        <color rgb="FF00B050"/>
        <rFont val="Arial"/>
        <family val="2"/>
      </rPr>
      <t>LILRB2</t>
    </r>
    <r>
      <rPr>
        <sz val="12"/>
        <color theme="1"/>
        <rFont val="Arial"/>
        <family val="2"/>
      </rPr>
      <t>', 'LILRA5', 'LILRB1', 'FCN1', 'CFP', 'FGL2', 'FCGR3A', 'LIPA', 'LST1', 'AIF1']</t>
    </r>
  </si>
  <si>
    <r>
      <t>['</t>
    </r>
    <r>
      <rPr>
        <sz val="12"/>
        <color rgb="FF00B050"/>
        <rFont val="Arial"/>
        <family val="2"/>
      </rPr>
      <t>LILRB2</t>
    </r>
    <r>
      <rPr>
        <sz val="12"/>
        <color theme="1"/>
        <rFont val="Arial"/>
        <family val="2"/>
      </rPr>
      <t>', 'LILRA5', 'POU2F2', '</t>
    </r>
    <r>
      <rPr>
        <sz val="12"/>
        <color rgb="FFC00000"/>
        <rFont val="Arial"/>
        <family val="2"/>
      </rPr>
      <t>LILRB1</t>
    </r>
    <r>
      <rPr>
        <sz val="12"/>
        <color theme="1"/>
        <rFont val="Arial"/>
        <family val="2"/>
      </rPr>
      <t>', 'SMIM25', 'FCN1', 'TCF7L2', 'MTSS1', 'FCGR3A', 'LST1']</t>
    </r>
  </si>
  <si>
    <t>Monocyte-derived Mph</t>
  </si>
  <si>
    <t>['C15orf48', 'CD68']</t>
  </si>
  <si>
    <t>['OLR1', 'ACP5', 'MRC1', 'C15orf48', 'C1QB', 'CD68', 'C1QA', 'PLAUR', 'HLA-DQA1', 'CTSB']</t>
  </si>
  <si>
    <t>Interstitial Mph perivascular</t>
  </si>
  <si>
    <t>Interstitial macrophage</t>
  </si>
  <si>
    <r>
      <t>['</t>
    </r>
    <r>
      <rPr>
        <sz val="12"/>
        <color rgb="FF00B050"/>
        <rFont val="Arial"/>
        <family val="2"/>
      </rPr>
      <t>F13A1</t>
    </r>
    <r>
      <rPr>
        <sz val="12"/>
        <color theme="1"/>
        <rFont val="Arial"/>
        <family val="2"/>
      </rPr>
      <t>', '</t>
    </r>
    <r>
      <rPr>
        <sz val="12"/>
        <color rgb="FFC00000"/>
        <rFont val="Arial"/>
        <family val="2"/>
      </rPr>
      <t>STAB1</t>
    </r>
    <r>
      <rPr>
        <sz val="12"/>
        <color theme="1"/>
        <rFont val="Arial"/>
        <family val="2"/>
      </rPr>
      <t>', 'FCGR2B']</t>
    </r>
  </si>
  <si>
    <r>
      <t>['</t>
    </r>
    <r>
      <rPr>
        <sz val="12"/>
        <color rgb="FF00B050"/>
        <rFont val="Arial"/>
        <family val="2"/>
      </rPr>
      <t>F13A1</t>
    </r>
    <r>
      <rPr>
        <sz val="12"/>
        <color theme="1"/>
        <rFont val="Arial"/>
        <family val="2"/>
      </rPr>
      <t>', 'C1QC']</t>
    </r>
  </si>
  <si>
    <r>
      <t>['</t>
    </r>
    <r>
      <rPr>
        <sz val="12"/>
        <color rgb="FF00B050"/>
        <rFont val="Arial"/>
        <family val="2"/>
      </rPr>
      <t>F13A1</t>
    </r>
    <r>
      <rPr>
        <sz val="12"/>
        <color theme="1"/>
        <rFont val="Arial"/>
        <family val="2"/>
      </rPr>
      <t>', 'STAB1', 'FCGR2B', 'CSF1R', 'TGFBI', 'RNASE6', 'CD14', 'CD163', 'MS4A6A', 'MRC1']</t>
    </r>
  </si>
  <si>
    <r>
      <t>['</t>
    </r>
    <r>
      <rPr>
        <sz val="12"/>
        <color rgb="FFC00000"/>
        <rFont val="Arial"/>
        <family val="2"/>
      </rPr>
      <t>STAB1</t>
    </r>
    <r>
      <rPr>
        <sz val="12"/>
        <color theme="1"/>
        <rFont val="Arial"/>
        <family val="2"/>
      </rPr>
      <t>', 'FMN1', 'SLCO2B1', '</t>
    </r>
    <r>
      <rPr>
        <sz val="12"/>
        <color rgb="FF00B050"/>
        <rFont val="Arial"/>
        <family val="2"/>
      </rPr>
      <t>F13A1</t>
    </r>
    <r>
      <rPr>
        <sz val="12"/>
        <color theme="1"/>
        <rFont val="Arial"/>
        <family val="2"/>
      </rPr>
      <t>', 'LGMN', 'C1QC', 'MRC1', 'C1QB', 'C1QA', 'MS4A6A']</t>
    </r>
  </si>
  <si>
    <t>Hematopoietic stem cells</t>
  </si>
  <si>
    <t>['CYTL1', 'FAM30A']</t>
  </si>
  <si>
    <t>['PRSS57', 'SMIM24', 'CYTL1', 'SPINK2', 'FAM30A', 'FAM117A', 'CDK6', 'GIHCG', 'CAT', 'MEST']</t>
  </si>
  <si>
    <t>Granulocyte</t>
  </si>
  <si>
    <t>Mast cells</t>
  </si>
  <si>
    <t>Mast/Basophil</t>
  </si>
  <si>
    <r>
      <t>['</t>
    </r>
    <r>
      <rPr>
        <sz val="12"/>
        <color rgb="FFC00000"/>
        <rFont val="Arial"/>
        <family val="2"/>
      </rPr>
      <t>TPSAB1</t>
    </r>
    <r>
      <rPr>
        <sz val="12"/>
        <color theme="1"/>
        <rFont val="Arial"/>
        <family val="2"/>
      </rPr>
      <t>']</t>
    </r>
  </si>
  <si>
    <r>
      <t>['</t>
    </r>
    <r>
      <rPr>
        <sz val="12"/>
        <color rgb="FFC00000"/>
        <rFont val="Arial"/>
        <family val="2"/>
      </rPr>
      <t>CPA3</t>
    </r>
    <r>
      <rPr>
        <sz val="12"/>
        <color theme="1"/>
        <rFont val="Arial"/>
        <family val="2"/>
      </rPr>
      <t>']</t>
    </r>
  </si>
  <si>
    <r>
      <t>['TPSAB1', 'TPSB2', '</t>
    </r>
    <r>
      <rPr>
        <sz val="12"/>
        <color rgb="FFC00000"/>
        <rFont val="Arial"/>
        <family val="2"/>
      </rPr>
      <t>CPA3</t>
    </r>
    <r>
      <rPr>
        <sz val="12"/>
        <color theme="1"/>
        <rFont val="Arial"/>
        <family val="2"/>
      </rPr>
      <t>', 'MS4A2', 'HPGDS', 'SLC18A2', 'RGS13', 'RHEX', 'HDC', 'LTC4S']</t>
    </r>
  </si>
  <si>
    <r>
      <t>['CPA3', '</t>
    </r>
    <r>
      <rPr>
        <sz val="12"/>
        <color rgb="FFC00000"/>
        <rFont val="Arial"/>
        <family val="2"/>
      </rPr>
      <t>TPSAB1</t>
    </r>
    <r>
      <rPr>
        <sz val="12"/>
        <color theme="1"/>
        <rFont val="Arial"/>
        <family val="2"/>
      </rPr>
      <t>', 'MS4A2', 'TPSB2', 'HPGDS', 'SLC18A2', 'RGS13', 'MAOB', 'HDC', 'RHEX']</t>
    </r>
  </si>
  <si>
    <t>T/NK cell</t>
  </si>
  <si>
    <t>T cells proliferating</t>
  </si>
  <si>
    <t>['CD3G', 'MKI67', 'PCLAF', 'CD3E']</t>
  </si>
  <si>
    <t>['CD3G', 'LCK', 'RRM2', 'MKI67', 'PCLAF', 'CD3E', 'CD3D', 'TYMS', 'HMGB2', 'BIRC5']</t>
  </si>
  <si>
    <t>NK cells</t>
  </si>
  <si>
    <t>Natural killer cell</t>
  </si>
  <si>
    <r>
      <t>['</t>
    </r>
    <r>
      <rPr>
        <sz val="12"/>
        <color rgb="FFC00000"/>
        <rFont val="Arial"/>
        <family val="2"/>
      </rPr>
      <t>KLRF1</t>
    </r>
    <r>
      <rPr>
        <sz val="12"/>
        <color theme="1"/>
        <rFont val="Arial"/>
        <family val="2"/>
      </rPr>
      <t>', '</t>
    </r>
    <r>
      <rPr>
        <sz val="12"/>
        <color rgb="FFC00000"/>
        <rFont val="Arial"/>
        <family val="2"/>
      </rPr>
      <t>PRF1</t>
    </r>
    <r>
      <rPr>
        <sz val="12"/>
        <color theme="1"/>
        <rFont val="Arial"/>
        <family val="2"/>
      </rPr>
      <t>']</t>
    </r>
  </si>
  <si>
    <r>
      <t>['</t>
    </r>
    <r>
      <rPr>
        <sz val="12"/>
        <color rgb="FFC00000"/>
        <rFont val="Arial"/>
        <family val="2"/>
      </rPr>
      <t>KLRB1</t>
    </r>
    <r>
      <rPr>
        <sz val="12"/>
        <color theme="1"/>
        <rFont val="Arial"/>
        <family val="2"/>
      </rPr>
      <t>', '</t>
    </r>
    <r>
      <rPr>
        <sz val="12"/>
        <color rgb="FFC00000"/>
        <rFont val="Arial"/>
        <family val="2"/>
      </rPr>
      <t>GNLY</t>
    </r>
    <r>
      <rPr>
        <sz val="12"/>
        <color theme="1"/>
        <rFont val="Arial"/>
        <family val="2"/>
      </rPr>
      <t>']</t>
    </r>
  </si>
  <si>
    <r>
      <t>['</t>
    </r>
    <r>
      <rPr>
        <sz val="12"/>
        <color rgb="FFC00000"/>
        <rFont val="Arial"/>
        <family val="2"/>
      </rPr>
      <t>GNLY</t>
    </r>
    <r>
      <rPr>
        <sz val="12"/>
        <color theme="1"/>
        <rFont val="Arial"/>
        <family val="2"/>
      </rPr>
      <t>', 'KLRF1', 'FGFBP2', '</t>
    </r>
    <r>
      <rPr>
        <sz val="12"/>
        <color rgb="FFC00000"/>
        <rFont val="Arial"/>
        <family val="2"/>
      </rPr>
      <t>KLRB1</t>
    </r>
    <r>
      <rPr>
        <sz val="12"/>
        <color theme="1"/>
        <rFont val="Arial"/>
        <family val="2"/>
      </rPr>
      <t>', 'KLRD1', 'PRF1', 'CD247', 'SPON2', 'CTSW', 'CD7']</t>
    </r>
  </si>
  <si>
    <r>
      <t>['</t>
    </r>
    <r>
      <rPr>
        <sz val="12"/>
        <color rgb="FFC00000"/>
        <rFont val="Arial"/>
        <family val="2"/>
      </rPr>
      <t>KLRF1</t>
    </r>
    <r>
      <rPr>
        <sz val="12"/>
        <color theme="1"/>
        <rFont val="Arial"/>
        <family val="2"/>
      </rPr>
      <t>', 'SPON2', 'FGFBP2', 'KLRB1', 'GNLY', 'KLRD1', 'NKG7', 'CD7', '</t>
    </r>
    <r>
      <rPr>
        <sz val="12"/>
        <color rgb="FFC00000"/>
        <rFont val="Arial"/>
        <family val="2"/>
      </rPr>
      <t>PRF1</t>
    </r>
    <r>
      <rPr>
        <sz val="12"/>
        <color theme="1"/>
        <rFont val="Arial"/>
        <family val="2"/>
      </rPr>
      <t>', 'GZMA']</t>
    </r>
  </si>
  <si>
    <t>CD4 T cells</t>
  </si>
  <si>
    <t>CD4+ T cell</t>
  </si>
  <si>
    <r>
      <t>['</t>
    </r>
    <r>
      <rPr>
        <sz val="12"/>
        <color rgb="FF00B050"/>
        <rFont val="Arial"/>
        <family val="2"/>
      </rPr>
      <t>LTB</t>
    </r>
    <r>
      <rPr>
        <sz val="12"/>
        <color theme="1"/>
        <rFont val="Arial"/>
        <family val="2"/>
      </rPr>
      <t>', '</t>
    </r>
    <r>
      <rPr>
        <sz val="12"/>
        <color rgb="FF00B050"/>
        <rFont val="Arial"/>
        <family val="2"/>
      </rPr>
      <t>CD3D</t>
    </r>
    <r>
      <rPr>
        <sz val="12"/>
        <color theme="1"/>
        <rFont val="Arial"/>
        <family val="2"/>
      </rPr>
      <t>']</t>
    </r>
  </si>
  <si>
    <r>
      <t>['</t>
    </r>
    <r>
      <rPr>
        <sz val="12"/>
        <color rgb="FF00B050"/>
        <rFont val="Arial"/>
        <family val="2"/>
      </rPr>
      <t>CD3D</t>
    </r>
    <r>
      <rPr>
        <sz val="12"/>
        <color theme="1"/>
        <rFont val="Arial"/>
        <family val="2"/>
      </rPr>
      <t>', '</t>
    </r>
    <r>
      <rPr>
        <sz val="12"/>
        <color rgb="FF00B050"/>
        <rFont val="Arial"/>
        <family val="2"/>
      </rPr>
      <t>LTB</t>
    </r>
    <r>
      <rPr>
        <sz val="12"/>
        <color theme="1"/>
        <rFont val="Arial"/>
        <family val="2"/>
      </rPr>
      <t>']</t>
    </r>
  </si>
  <si>
    <r>
      <t>['TRAC', '</t>
    </r>
    <r>
      <rPr>
        <sz val="12"/>
        <color rgb="FF00B050"/>
        <rFont val="Arial"/>
        <family val="2"/>
      </rPr>
      <t>LTB</t>
    </r>
    <r>
      <rPr>
        <sz val="12"/>
        <color theme="1"/>
        <rFont val="Arial"/>
        <family val="2"/>
      </rPr>
      <t>', 'CD2', 'CD3E', '</t>
    </r>
    <r>
      <rPr>
        <sz val="12"/>
        <color rgb="FF00B050"/>
        <rFont val="Arial"/>
        <family val="2"/>
      </rPr>
      <t>CD3D</t>
    </r>
    <r>
      <rPr>
        <sz val="12"/>
        <color theme="1"/>
        <rFont val="Arial"/>
        <family val="2"/>
      </rPr>
      <t>', 'IL7R', 'IL32', 'CD69', 'CXCR4', 'HCST']</t>
    </r>
  </si>
  <si>
    <r>
      <t>['RNF19A', 'ITK', 'CNOT6L', '</t>
    </r>
    <r>
      <rPr>
        <sz val="12"/>
        <color rgb="FF00B050"/>
        <rFont val="Arial"/>
        <family val="2"/>
      </rPr>
      <t>CD3D</t>
    </r>
    <r>
      <rPr>
        <sz val="12"/>
        <color theme="1"/>
        <rFont val="Arial"/>
        <family val="2"/>
      </rPr>
      <t>', '</t>
    </r>
    <r>
      <rPr>
        <sz val="12"/>
        <color rgb="FF00B050"/>
        <rFont val="Arial"/>
        <family val="2"/>
      </rPr>
      <t>LTB</t>
    </r>
    <r>
      <rPr>
        <sz val="12"/>
        <color theme="1"/>
        <rFont val="Arial"/>
        <family val="2"/>
      </rPr>
      <t>', 'CD3E', 'TRAC', 'LINC00513', 'CRYBG1', 'RHOH']</t>
    </r>
  </si>
  <si>
    <t>CD8 T cells</t>
  </si>
  <si>
    <t>CD8+ T cell</t>
  </si>
  <si>
    <r>
      <t>['CCL5', '</t>
    </r>
    <r>
      <rPr>
        <sz val="12"/>
        <color rgb="FFC00000"/>
        <rFont val="Arial"/>
        <family val="2"/>
      </rPr>
      <t>CD3D</t>
    </r>
    <r>
      <rPr>
        <sz val="12"/>
        <color theme="1"/>
        <rFont val="Arial"/>
        <family val="2"/>
      </rPr>
      <t>']</t>
    </r>
  </si>
  <si>
    <r>
      <t>['CD8A', '</t>
    </r>
    <r>
      <rPr>
        <sz val="12"/>
        <color rgb="FFC00000"/>
        <rFont val="Arial"/>
        <family val="2"/>
      </rPr>
      <t>NKG7</t>
    </r>
    <r>
      <rPr>
        <sz val="12"/>
        <color theme="1"/>
        <rFont val="Arial"/>
        <family val="2"/>
      </rPr>
      <t>', '</t>
    </r>
    <r>
      <rPr>
        <sz val="12"/>
        <color rgb="FFC00000"/>
        <rFont val="Arial"/>
        <family val="2"/>
      </rPr>
      <t>CD3E</t>
    </r>
    <r>
      <rPr>
        <sz val="12"/>
        <color theme="1"/>
        <rFont val="Arial"/>
        <family val="2"/>
      </rPr>
      <t>']</t>
    </r>
  </si>
  <si>
    <r>
      <t>['TRAC', 'CCL5', 'CD7', 'CD3D', 'CD2', 'CTSW', '</t>
    </r>
    <r>
      <rPr>
        <sz val="12"/>
        <color rgb="FFC00000"/>
        <rFont val="Arial"/>
        <family val="2"/>
      </rPr>
      <t>NKG7</t>
    </r>
    <r>
      <rPr>
        <sz val="12"/>
        <color theme="1"/>
        <rFont val="Arial"/>
        <family val="2"/>
      </rPr>
      <t>', 'TRBC2', '</t>
    </r>
    <r>
      <rPr>
        <sz val="12"/>
        <color rgb="FFC00000"/>
        <rFont val="Arial"/>
        <family val="2"/>
      </rPr>
      <t>CD3E</t>
    </r>
    <r>
      <rPr>
        <sz val="12"/>
        <color theme="1"/>
        <rFont val="Arial"/>
        <family val="2"/>
      </rPr>
      <t>', 'GZMA']</t>
    </r>
  </si>
  <si>
    <r>
      <t>['CD8B', 'CD8A', 'CD3G', 'GZMH', 'NKG7', 'CD3E', 'GZMA', 'KLRD1', '</t>
    </r>
    <r>
      <rPr>
        <sz val="12"/>
        <color rgb="FFC00000"/>
        <rFont val="Arial"/>
        <family val="2"/>
      </rPr>
      <t>CD3D</t>
    </r>
    <r>
      <rPr>
        <sz val="12"/>
        <color theme="1"/>
        <rFont val="Arial"/>
        <family val="2"/>
      </rPr>
      <t>', 'TRAC']</t>
    </r>
  </si>
  <si>
    <t>B lineage cell</t>
  </si>
  <si>
    <t>Plasma cells</t>
  </si>
  <si>
    <t>Plasma cell</t>
  </si>
  <si>
    <r>
      <t>['</t>
    </r>
    <r>
      <rPr>
        <sz val="12"/>
        <color rgb="FFC00000"/>
        <rFont val="Arial"/>
        <family val="2"/>
      </rPr>
      <t>JCHAIN</t>
    </r>
    <r>
      <rPr>
        <sz val="12"/>
        <color theme="1"/>
        <rFont val="Arial"/>
        <family val="2"/>
      </rPr>
      <t>']</t>
    </r>
  </si>
  <si>
    <r>
      <t>['</t>
    </r>
    <r>
      <rPr>
        <sz val="12"/>
        <color rgb="FFC00000"/>
        <rFont val="Arial"/>
        <family val="2"/>
      </rPr>
      <t>MZB1</t>
    </r>
    <r>
      <rPr>
        <sz val="12"/>
        <color theme="1"/>
        <rFont val="Arial"/>
        <family val="2"/>
      </rPr>
      <t>']</t>
    </r>
  </si>
  <si>
    <r>
      <t>['TNFRSF17', 'IGHA1', 'CD27', 'POU2AF1', '</t>
    </r>
    <r>
      <rPr>
        <sz val="12"/>
        <color rgb="FFC00000"/>
        <rFont val="Arial"/>
        <family val="2"/>
      </rPr>
      <t>MZB1</t>
    </r>
    <r>
      <rPr>
        <sz val="12"/>
        <color theme="1"/>
        <rFont val="Arial"/>
        <family val="2"/>
      </rPr>
      <t>', 'JCHAIN', 'DERL3', 'IGKC', 'CD79A', 'FKBP11']</t>
    </r>
  </si>
  <si>
    <r>
      <t>['FCRL5', 'POU2AF1', 'IGHA1', 'TENT5C', 'TXNDC5', 'MZB1', '</t>
    </r>
    <r>
      <rPr>
        <sz val="12"/>
        <color rgb="FFC00000"/>
        <rFont val="Arial"/>
        <family val="2"/>
      </rPr>
      <t>JCHAIN</t>
    </r>
    <r>
      <rPr>
        <sz val="12"/>
        <color theme="1"/>
        <rFont val="Arial"/>
        <family val="2"/>
      </rPr>
      <t>', 'CREB3L2', 'DERL3', 'FBXW7']</t>
    </r>
  </si>
  <si>
    <t>B cells</t>
  </si>
  <si>
    <t>B cell</t>
  </si>
  <si>
    <r>
      <t>['</t>
    </r>
    <r>
      <rPr>
        <sz val="12"/>
        <color rgb="FF00B050"/>
        <rFont val="Arial"/>
        <family val="2"/>
      </rPr>
      <t>MS4A1</t>
    </r>
    <r>
      <rPr>
        <sz val="12"/>
        <color theme="1"/>
        <rFont val="Arial"/>
        <family val="2"/>
      </rPr>
      <t>', '</t>
    </r>
    <r>
      <rPr>
        <sz val="12"/>
        <color rgb="FFC00000"/>
        <rFont val="Arial"/>
        <family val="2"/>
      </rPr>
      <t>CD79A</t>
    </r>
    <r>
      <rPr>
        <sz val="12"/>
        <color theme="1"/>
        <rFont val="Arial"/>
        <family val="2"/>
      </rPr>
      <t>']</t>
    </r>
  </si>
  <si>
    <r>
      <t>['</t>
    </r>
    <r>
      <rPr>
        <sz val="12"/>
        <color rgb="FF00B050"/>
        <rFont val="Arial"/>
        <family val="2"/>
      </rPr>
      <t>MS4A1</t>
    </r>
    <r>
      <rPr>
        <sz val="12"/>
        <color theme="1"/>
        <rFont val="Arial"/>
        <family val="2"/>
      </rPr>
      <t>']</t>
    </r>
  </si>
  <si>
    <r>
      <t>['</t>
    </r>
    <r>
      <rPr>
        <sz val="12"/>
        <color rgb="FF00B050"/>
        <rFont val="Arial"/>
        <family val="2"/>
      </rPr>
      <t>MS4A1</t>
    </r>
    <r>
      <rPr>
        <sz val="12"/>
        <color theme="1"/>
        <rFont val="Arial"/>
        <family val="2"/>
      </rPr>
      <t>', 'BANK1', 'CD79A', 'LTB', 'IGKC', 'MEF2C', 'CD83', 'CXCR4', 'HLA-DQA1', 'CD37']</t>
    </r>
  </si>
  <si>
    <r>
      <t>['</t>
    </r>
    <r>
      <rPr>
        <sz val="12"/>
        <color rgb="FF00B050"/>
        <rFont val="Arial"/>
        <family val="2"/>
      </rPr>
      <t>MS4A1</t>
    </r>
    <r>
      <rPr>
        <sz val="12"/>
        <color theme="1"/>
        <rFont val="Arial"/>
        <family val="2"/>
      </rPr>
      <t>', 'BANK1', '</t>
    </r>
    <r>
      <rPr>
        <sz val="12"/>
        <color rgb="FFC00000"/>
        <rFont val="Arial"/>
        <family val="2"/>
      </rPr>
      <t>CD79A</t>
    </r>
    <r>
      <rPr>
        <sz val="12"/>
        <color theme="1"/>
        <rFont val="Arial"/>
        <family val="2"/>
      </rPr>
      <t>', 'BLK', 'RALGPS2', 'ARHGAP24', 'AFF3', 'MGAT5', 'EBF1', 'PRKCB']</t>
    </r>
  </si>
  <si>
    <t>Plasmacytoid DCs</t>
  </si>
  <si>
    <t>Plasmacytoid DC</t>
  </si>
  <si>
    <r>
      <t>['</t>
    </r>
    <r>
      <rPr>
        <sz val="12"/>
        <color rgb="FF00B050"/>
        <rFont val="Arial"/>
        <family val="2"/>
      </rPr>
      <t>LILRA4</t>
    </r>
    <r>
      <rPr>
        <sz val="12"/>
        <color theme="1"/>
        <rFont val="Arial"/>
        <family val="2"/>
      </rPr>
      <t>', 'JCHAIN']</t>
    </r>
  </si>
  <si>
    <r>
      <t>['</t>
    </r>
    <r>
      <rPr>
        <sz val="12"/>
        <color rgb="FF00B050"/>
        <rFont val="Arial"/>
        <family val="2"/>
      </rPr>
      <t>LILRA4</t>
    </r>
    <r>
      <rPr>
        <sz val="12"/>
        <color theme="1"/>
        <rFont val="Arial"/>
        <family val="2"/>
      </rPr>
      <t>', '</t>
    </r>
    <r>
      <rPr>
        <sz val="12"/>
        <color rgb="FFC00000"/>
        <rFont val="Arial"/>
        <family val="2"/>
      </rPr>
      <t>SCT</t>
    </r>
    <r>
      <rPr>
        <sz val="12"/>
        <color theme="1"/>
        <rFont val="Arial"/>
        <family val="2"/>
      </rPr>
      <t>']</t>
    </r>
  </si>
  <si>
    <r>
      <t>['</t>
    </r>
    <r>
      <rPr>
        <sz val="12"/>
        <color rgb="FF00B050"/>
        <rFont val="Arial"/>
        <family val="2"/>
      </rPr>
      <t>LILRA4</t>
    </r>
    <r>
      <rPr>
        <sz val="12"/>
        <color theme="1"/>
        <rFont val="Arial"/>
        <family val="2"/>
      </rPr>
      <t>', 'PLD4', 'IRF7', 'SCT', 'IL3RA', 'JCHAIN', 'MZB1', 'UGCG', 'GZMB', 'IRF8']</t>
    </r>
  </si>
  <si>
    <r>
      <t>['</t>
    </r>
    <r>
      <rPr>
        <sz val="12"/>
        <color rgb="FF00B050"/>
        <rFont val="Arial"/>
        <family val="2"/>
      </rPr>
      <t>LILRA4</t>
    </r>
    <r>
      <rPr>
        <sz val="12"/>
        <color theme="1"/>
        <rFont val="Arial"/>
        <family val="2"/>
      </rPr>
      <t>', 'PLD4', 'IRF7', 'SCT', 'CLEC4C', 'MAP1A', 'IRF8', 'PTCRA', 'CXCR3', 'MZB1']</t>
    </r>
  </si>
  <si>
    <t>Lymphatic EC</t>
  </si>
  <si>
    <t>Lymphatic EC cell mature</t>
  </si>
  <si>
    <t>Lymphatic endothelial cell</t>
  </si>
  <si>
    <r>
      <t>['</t>
    </r>
    <r>
      <rPr>
        <sz val="12"/>
        <color rgb="FF00B050"/>
        <rFont val="Arial"/>
        <family val="2"/>
      </rPr>
      <t>CCL21</t>
    </r>
    <r>
      <rPr>
        <sz val="12"/>
        <color theme="1"/>
        <rFont val="Arial"/>
        <family val="2"/>
      </rPr>
      <t>']</t>
    </r>
  </si>
  <si>
    <r>
      <t>['TM4SF18', 'VPS35L', '</t>
    </r>
    <r>
      <rPr>
        <sz val="12"/>
        <color rgb="FF00B050"/>
        <rFont val="Arial"/>
        <family val="2"/>
      </rPr>
      <t>CCL21</t>
    </r>
    <r>
      <rPr>
        <sz val="12"/>
        <color theme="1"/>
        <rFont val="Arial"/>
        <family val="2"/>
      </rPr>
      <t>', 'MMRN1', 'SNCG', 'PPFIBP1', 'NRP2', 'AKAP12', 'PDPN', 'GNG11']</t>
    </r>
  </si>
  <si>
    <r>
      <t>['</t>
    </r>
    <r>
      <rPr>
        <sz val="12"/>
        <color rgb="FF00B050"/>
        <rFont val="Arial"/>
        <family val="2"/>
      </rPr>
      <t>CCL21</t>
    </r>
    <r>
      <rPr>
        <sz val="12"/>
        <color theme="1"/>
        <rFont val="Arial"/>
        <family val="2"/>
      </rPr>
      <t>', 'PKHD1L1', 'SEMA3D', 'LYVE1', 'SEMA3A', 'PROX1', 'MMRN1', 'PPFIBP1', 'AKAP12', 'PDPN']</t>
    </r>
  </si>
  <si>
    <t>Lymphatic EC cell proliferating</t>
  </si>
  <si>
    <t>['CENPF', 'CCL21']</t>
  </si>
  <si>
    <t>['PIMREG', 'PBK', 'CCNA2', 'CENPF', 'CCL21', 'TYMS', 'MMRN1', 'PROX1', 'BIRC5', 'UBE2C']</t>
  </si>
  <si>
    <t>Fibroblast</t>
  </si>
  <si>
    <t>Mesothelium</t>
  </si>
  <si>
    <t>Mesothelial cell</t>
  </si>
  <si>
    <r>
      <t>['</t>
    </r>
    <r>
      <rPr>
        <sz val="12"/>
        <color rgb="FF00B050"/>
        <rFont val="Arial"/>
        <family val="2"/>
      </rPr>
      <t>CALB2</t>
    </r>
    <r>
      <rPr>
        <sz val="12"/>
        <color theme="1"/>
        <rFont val="Arial"/>
        <family val="2"/>
      </rPr>
      <t>', '</t>
    </r>
    <r>
      <rPr>
        <sz val="12"/>
        <color rgb="FFC00000"/>
        <rFont val="Arial"/>
        <family val="2"/>
      </rPr>
      <t>PRG4</t>
    </r>
    <r>
      <rPr>
        <sz val="12"/>
        <color theme="1"/>
        <rFont val="Arial"/>
        <family val="2"/>
      </rPr>
      <t>']</t>
    </r>
  </si>
  <si>
    <r>
      <t>['</t>
    </r>
    <r>
      <rPr>
        <sz val="12"/>
        <color rgb="FF00B050"/>
        <rFont val="Arial"/>
        <family val="2"/>
      </rPr>
      <t>CALB2</t>
    </r>
    <r>
      <rPr>
        <sz val="12"/>
        <color theme="1"/>
        <rFont val="Arial"/>
        <family val="2"/>
      </rPr>
      <t>', '</t>
    </r>
    <r>
      <rPr>
        <sz val="12"/>
        <color rgb="FFC00000"/>
        <rFont val="Arial"/>
        <family val="2"/>
      </rPr>
      <t>UPK3B</t>
    </r>
    <r>
      <rPr>
        <sz val="12"/>
        <color theme="1"/>
        <rFont val="Arial"/>
        <family val="2"/>
      </rPr>
      <t>']</t>
    </r>
  </si>
  <si>
    <r>
      <t>['ITLN1', '</t>
    </r>
    <r>
      <rPr>
        <sz val="12"/>
        <color rgb="FF00B050"/>
        <rFont val="Arial"/>
        <family val="2"/>
      </rPr>
      <t>CALB2</t>
    </r>
    <r>
      <rPr>
        <sz val="12"/>
        <color theme="1"/>
        <rFont val="Arial"/>
        <family val="2"/>
      </rPr>
      <t>', 'PRG4', 'CFB', 'TFPI2', '</t>
    </r>
    <r>
      <rPr>
        <sz val="12"/>
        <color rgb="FFC00000"/>
        <rFont val="Arial"/>
        <family val="2"/>
      </rPr>
      <t>UPK3B</t>
    </r>
    <r>
      <rPr>
        <sz val="12"/>
        <color theme="1"/>
        <rFont val="Arial"/>
        <family val="2"/>
      </rPr>
      <t>', 'HP', 'MSLN', 'PLA2G2A', 'CLDN1']</t>
    </r>
  </si>
  <si>
    <r>
      <t>['</t>
    </r>
    <r>
      <rPr>
        <sz val="12"/>
        <color rgb="FF00B050"/>
        <rFont val="Arial"/>
        <family val="2"/>
      </rPr>
      <t>CALB2</t>
    </r>
    <r>
      <rPr>
        <sz val="12"/>
        <color theme="1"/>
        <rFont val="Arial"/>
        <family val="2"/>
      </rPr>
      <t>', 'HP', 'ITLN1', 'UPK3B', '</t>
    </r>
    <r>
      <rPr>
        <sz val="12"/>
        <color rgb="FFC00000"/>
        <rFont val="Arial"/>
        <family val="2"/>
      </rPr>
      <t>PRG4</t>
    </r>
    <r>
      <rPr>
        <sz val="12"/>
        <color theme="1"/>
        <rFont val="Arial"/>
        <family val="2"/>
      </rPr>
      <t>', 'C4B', 'WT1', 'TFPI2', 'PLA2G2A', 'MSLN']</t>
    </r>
  </si>
  <si>
    <t>Adventitial fibroblasts</t>
  </si>
  <si>
    <t>Alveolar fibroblast 2</t>
  </si>
  <si>
    <r>
      <t>['</t>
    </r>
    <r>
      <rPr>
        <sz val="12"/>
        <color rgb="FFC00000"/>
        <rFont val="Arial"/>
        <family val="2"/>
      </rPr>
      <t>SCARA5</t>
    </r>
    <r>
      <rPr>
        <sz val="12"/>
        <color theme="1"/>
        <rFont val="Arial"/>
        <family val="2"/>
      </rPr>
      <t>', 'CD248']</t>
    </r>
  </si>
  <si>
    <r>
      <t>['</t>
    </r>
    <r>
      <rPr>
        <sz val="12"/>
        <color rgb="FFC00000"/>
        <rFont val="Arial"/>
        <family val="2"/>
      </rPr>
      <t>MFAP5</t>
    </r>
    <r>
      <rPr>
        <sz val="12"/>
        <color theme="1"/>
        <rFont val="Arial"/>
        <family val="2"/>
      </rPr>
      <t>', '</t>
    </r>
    <r>
      <rPr>
        <sz val="12"/>
        <color rgb="FFC00000"/>
        <rFont val="Arial"/>
        <family val="2"/>
      </rPr>
      <t>FBLN2</t>
    </r>
    <r>
      <rPr>
        <sz val="12"/>
        <color theme="1"/>
        <rFont val="Arial"/>
        <family val="2"/>
      </rPr>
      <t>']</t>
    </r>
  </si>
  <si>
    <r>
      <t>['SCARA5', '</t>
    </r>
    <r>
      <rPr>
        <sz val="12"/>
        <color rgb="FFC00000"/>
        <rFont val="Arial"/>
        <family val="2"/>
      </rPr>
      <t>MFAP5</t>
    </r>
    <r>
      <rPr>
        <sz val="12"/>
        <color theme="1"/>
        <rFont val="Arial"/>
        <family val="2"/>
      </rPr>
      <t>', 'PODN', 'FBN1', 'PI16', 'CD248', 'SFRP2', '</t>
    </r>
    <r>
      <rPr>
        <sz val="12"/>
        <color rgb="FFC00000"/>
        <rFont val="Arial"/>
        <family val="2"/>
      </rPr>
      <t>FBLN2</t>
    </r>
    <r>
      <rPr>
        <sz val="12"/>
        <color theme="1"/>
        <rFont val="Arial"/>
        <family val="2"/>
      </rPr>
      <t>', 'OGN', 'MEDAG']</t>
    </r>
  </si>
  <si>
    <r>
      <t>['MFAP5', '</t>
    </r>
    <r>
      <rPr>
        <sz val="12"/>
        <color rgb="FFC00000"/>
        <rFont val="Arial"/>
        <family val="2"/>
      </rPr>
      <t>SCARA5</t>
    </r>
    <r>
      <rPr>
        <sz val="12"/>
        <color theme="1"/>
        <rFont val="Arial"/>
        <family val="2"/>
      </rPr>
      <t>', 'PI16', 'FBLN2', 'SFRP2', 'IGFBP6', 'FBLN1', 'CFD', 'PLA2G2A', 'CCDC80']</t>
    </r>
  </si>
  <si>
    <t>Subpleural fibroblasts</t>
  </si>
  <si>
    <t>['WT1', 'CXCL12']</t>
  </si>
  <si>
    <t>['WT1', 'VCAM1', 'CADM3', 'CXCL12', 'ALDH1A3', 'PTN', 'EGFL6', 'COL1A1', 'CLDN1', 'APOE']</t>
  </si>
  <si>
    <t>Myofibroblast</t>
  </si>
  <si>
    <t>Peribronchial fibroblasts</t>
  </si>
  <si>
    <t>Chondrocyte</t>
  </si>
  <si>
    <t>['DPT', 'APOD']</t>
  </si>
  <si>
    <t>['CYTL1']</t>
  </si>
  <si>
    <t>['CXCL14', 'DPT', 'ASPN', 'LTBP2', 'CTSK', 'APOD', 'LTBP1', 'DKK3', 'LUM', 'CFH']</t>
  </si>
  <si>
    <t>['CYTL1', 'SNORC', 'COL2A1', 'HAPLN1', 'ACAN', 'TNFRSF11B', 'RBP4', 'S100A1', 'COL9A3', 'SOX9']</t>
  </si>
  <si>
    <t>Alveolar fibroblasts</t>
  </si>
  <si>
    <t>Alveolar fibroblast 1</t>
  </si>
  <si>
    <t>['AOC3', 'LUM']</t>
  </si>
  <si>
    <r>
      <t>['</t>
    </r>
    <r>
      <rPr>
        <sz val="12"/>
        <color rgb="FFC00000"/>
        <rFont val="Arial"/>
        <family val="2"/>
      </rPr>
      <t>SCN7A</t>
    </r>
    <r>
      <rPr>
        <sz val="12"/>
        <color theme="1"/>
        <rFont val="Arial"/>
        <family val="2"/>
      </rPr>
      <t>', 'ITGA8']</t>
    </r>
  </si>
  <si>
    <r>
      <t>['</t>
    </r>
    <r>
      <rPr>
        <sz val="12"/>
        <color rgb="FFC00000"/>
        <rFont val="Arial"/>
        <family val="2"/>
      </rPr>
      <t>SCN7A</t>
    </r>
    <r>
      <rPr>
        <sz val="12"/>
        <color theme="1"/>
        <rFont val="Arial"/>
        <family val="2"/>
      </rPr>
      <t>', 'GPC3', 'ANGPT1', 'TCF21', 'AOC3', 'LUM', 'MACF1', 'CCN1', 'ADH1B', 'MFAP4']</t>
    </r>
  </si>
  <si>
    <t>['SCN7A', 'GPC3', 'SVEP1', 'PLEKHH2', 'ITGA8', 'ROBO2', 'CDH11', 'MYH10', 'SLIT2', 'FBLN1']</t>
  </si>
  <si>
    <t>Myofibroblasts</t>
  </si>
  <si>
    <t>Secondary crest myofibroblast</t>
  </si>
  <si>
    <r>
      <t>['</t>
    </r>
    <r>
      <rPr>
        <sz val="12"/>
        <color rgb="FF00B050"/>
        <rFont val="Arial"/>
        <family val="2"/>
      </rPr>
      <t>ASPN</t>
    </r>
    <r>
      <rPr>
        <sz val="12"/>
        <color theme="1"/>
        <rFont val="Arial"/>
        <family val="2"/>
      </rPr>
      <t>', 'DKK3', 'BCHE']</t>
    </r>
  </si>
  <si>
    <r>
      <t>['</t>
    </r>
    <r>
      <rPr>
        <sz val="12"/>
        <color rgb="FF00B050"/>
        <rFont val="Arial"/>
        <family val="2"/>
      </rPr>
      <t>ASPN</t>
    </r>
    <r>
      <rPr>
        <sz val="12"/>
        <color theme="1"/>
        <rFont val="Arial"/>
        <family val="2"/>
      </rPr>
      <t>', '</t>
    </r>
    <r>
      <rPr>
        <sz val="12"/>
        <color rgb="FFC00000"/>
        <rFont val="Arial"/>
        <family val="2"/>
      </rPr>
      <t>ITGBL1</t>
    </r>
    <r>
      <rPr>
        <sz val="12"/>
        <color theme="1"/>
        <rFont val="Arial"/>
        <family val="2"/>
      </rPr>
      <t>']</t>
    </r>
  </si>
  <si>
    <r>
      <t>['</t>
    </r>
    <r>
      <rPr>
        <sz val="12"/>
        <color rgb="FFC00000"/>
        <rFont val="Arial"/>
        <family val="2"/>
      </rPr>
      <t>ITGBL1</t>
    </r>
    <r>
      <rPr>
        <sz val="12"/>
        <color theme="1"/>
        <rFont val="Arial"/>
        <family val="2"/>
      </rPr>
      <t>', '</t>
    </r>
    <r>
      <rPr>
        <sz val="12"/>
        <color rgb="FF00B050"/>
        <rFont val="Arial"/>
        <family val="2"/>
      </rPr>
      <t>ASPN</t>
    </r>
    <r>
      <rPr>
        <sz val="12"/>
        <color theme="1"/>
        <rFont val="Arial"/>
        <family val="2"/>
      </rPr>
      <t>', 'LTBP2', 'DKK3', 'BCHE', 'LTBP1', 'PRELP', 'CFH', 'ACTA2', 'TAGLN']</t>
    </r>
  </si>
  <si>
    <r>
      <t>['</t>
    </r>
    <r>
      <rPr>
        <sz val="12"/>
        <color rgb="FF00B050"/>
        <rFont val="Arial"/>
        <family val="2"/>
      </rPr>
      <t>ASPN</t>
    </r>
    <r>
      <rPr>
        <sz val="12"/>
        <color theme="1"/>
        <rFont val="Arial"/>
        <family val="2"/>
      </rPr>
      <t>', 'LTBP2', 'ITGBL1', 'LTBP1', 'COL1A1', 'COL3A1', 'CFH', 'ACTA2', 'TAGLN', 'DCN']</t>
    </r>
  </si>
  <si>
    <t>Smooth muscle</t>
  </si>
  <si>
    <t>SM activated stress response</t>
  </si>
  <si>
    <t>['RERGL', 'C11orf96']</t>
  </si>
  <si>
    <t>['RERGL', 'IER5L', 'C11orf96', 'ADAMTS1', 'MCAM', 'PLN', 'ATF3', 'NR4A1', 'TAGLN', 'HSPA1B']</t>
  </si>
  <si>
    <t>Pericytes</t>
  </si>
  <si>
    <t>Pericyte</t>
  </si>
  <si>
    <r>
      <t>['</t>
    </r>
    <r>
      <rPr>
        <sz val="12"/>
        <color rgb="FF00B050"/>
        <rFont val="Arial"/>
        <family val="2"/>
      </rPr>
      <t>HIGD1B</t>
    </r>
    <r>
      <rPr>
        <sz val="12"/>
        <color theme="1"/>
        <rFont val="Arial"/>
        <family val="2"/>
      </rPr>
      <t>', '</t>
    </r>
    <r>
      <rPr>
        <sz val="12"/>
        <color rgb="FF00B050"/>
        <rFont val="Arial"/>
        <family val="2"/>
      </rPr>
      <t>KCNK3</t>
    </r>
    <r>
      <rPr>
        <sz val="12"/>
        <color theme="1"/>
        <rFont val="Arial"/>
        <family val="2"/>
      </rPr>
      <t>']</t>
    </r>
  </si>
  <si>
    <r>
      <t>['LAMC3', '</t>
    </r>
    <r>
      <rPr>
        <sz val="12"/>
        <color rgb="FF00B050"/>
        <rFont val="Arial"/>
        <family val="2"/>
      </rPr>
      <t>HIGD1B</t>
    </r>
    <r>
      <rPr>
        <sz val="12"/>
        <color theme="1"/>
        <rFont val="Arial"/>
        <family val="2"/>
      </rPr>
      <t>', 'NDUFA4L2', 'FAM162B', 'RGN', '</t>
    </r>
    <r>
      <rPr>
        <sz val="12"/>
        <color rgb="FF00B050"/>
        <rFont val="Arial"/>
        <family val="2"/>
      </rPr>
      <t>KCNK3</t>
    </r>
    <r>
      <rPr>
        <sz val="12"/>
        <color theme="1"/>
        <rFont val="Arial"/>
        <family val="2"/>
      </rPr>
      <t>', 'COX4I2', 'COL4A1', 'PTN', 'COL4A2']</t>
    </r>
  </si>
  <si>
    <r>
      <t>['</t>
    </r>
    <r>
      <rPr>
        <sz val="12"/>
        <color rgb="FF00B050"/>
        <rFont val="Arial"/>
        <family val="2"/>
      </rPr>
      <t>HIGD1B</t>
    </r>
    <r>
      <rPr>
        <sz val="12"/>
        <color theme="1"/>
        <rFont val="Arial"/>
        <family val="2"/>
      </rPr>
      <t>', 'LAMC3', '</t>
    </r>
    <r>
      <rPr>
        <sz val="12"/>
        <color rgb="FF00B050"/>
        <rFont val="Arial"/>
        <family val="2"/>
      </rPr>
      <t>KCNK3</t>
    </r>
    <r>
      <rPr>
        <sz val="12"/>
        <color theme="1"/>
        <rFont val="Arial"/>
        <family val="2"/>
      </rPr>
      <t>', 'NDUFA4L2', 'RGN', 'FAM162B', 'EGFL6', 'PTN', 'MEST', 'COL4A1']</t>
    </r>
  </si>
  <si>
    <t>Smooth muscle cell</t>
  </si>
  <si>
    <t>Vascular smooth muscle cell</t>
  </si>
  <si>
    <r>
      <t>['</t>
    </r>
    <r>
      <rPr>
        <sz val="12"/>
        <color rgb="FFC00000"/>
        <rFont val="Arial"/>
        <family val="2"/>
      </rPr>
      <t>ACTA2</t>
    </r>
    <r>
      <rPr>
        <sz val="12"/>
        <color theme="1"/>
        <rFont val="Arial"/>
        <family val="2"/>
      </rPr>
      <t>', '</t>
    </r>
    <r>
      <rPr>
        <sz val="12"/>
        <color rgb="FFC00000"/>
        <rFont val="Arial"/>
        <family val="2"/>
      </rPr>
      <t>TAGLN</t>
    </r>
    <r>
      <rPr>
        <sz val="12"/>
        <color theme="1"/>
        <rFont val="Arial"/>
        <family val="2"/>
      </rPr>
      <t>']</t>
    </r>
  </si>
  <si>
    <r>
      <t>['PLN', '</t>
    </r>
    <r>
      <rPr>
        <sz val="12"/>
        <color rgb="FFC00000"/>
        <rFont val="Arial"/>
        <family val="2"/>
      </rPr>
      <t>MYH11</t>
    </r>
    <r>
      <rPr>
        <sz val="12"/>
        <color theme="1"/>
        <rFont val="Arial"/>
        <family val="2"/>
      </rPr>
      <t>']</t>
    </r>
  </si>
  <si>
    <r>
      <t>['LMOD1', 'ACTG2', 'CNN1', '</t>
    </r>
    <r>
      <rPr>
        <sz val="12"/>
        <color rgb="FFC00000"/>
        <rFont val="Arial"/>
        <family val="2"/>
      </rPr>
      <t>MYH11</t>
    </r>
    <r>
      <rPr>
        <sz val="12"/>
        <color theme="1"/>
        <rFont val="Arial"/>
        <family val="2"/>
      </rPr>
      <t>', 'ACTA2', 'TAGLN', 'PPP1R14A', 'PLAC9', 'MYL9', 'TPM2']</t>
    </r>
  </si>
  <si>
    <r>
      <t>['RERGL', 'PLN', 'DES', 'LMOD1', 'MYH11', 'ACTG2', 'CNN1', 'PLAC9', '</t>
    </r>
    <r>
      <rPr>
        <sz val="12"/>
        <color rgb="FFC00000"/>
        <rFont val="Arial"/>
        <family val="2"/>
      </rPr>
      <t>ACTA2</t>
    </r>
    <r>
      <rPr>
        <sz val="12"/>
        <color theme="1"/>
        <rFont val="Arial"/>
        <family val="2"/>
      </rPr>
      <t>', '</t>
    </r>
    <r>
      <rPr>
        <sz val="12"/>
        <color rgb="FFC00000"/>
        <rFont val="Arial"/>
        <family val="2"/>
      </rPr>
      <t>TAGLN</t>
    </r>
    <r>
      <rPr>
        <sz val="12"/>
        <color theme="1"/>
        <rFont val="Arial"/>
        <family val="2"/>
      </rPr>
      <t>']</t>
    </r>
  </si>
  <si>
    <t>Smooth muscle cell FAM83D+</t>
  </si>
  <si>
    <t>Airway smooth muscle cell</t>
  </si>
  <si>
    <r>
      <t>['</t>
    </r>
    <r>
      <rPr>
        <sz val="12"/>
        <color rgb="FFC00000"/>
        <rFont val="Arial"/>
        <family val="2"/>
      </rPr>
      <t>ACTG2</t>
    </r>
    <r>
      <rPr>
        <sz val="12"/>
        <color theme="1"/>
        <rFont val="Arial"/>
        <family val="2"/>
      </rPr>
      <t>']</t>
    </r>
  </si>
  <si>
    <r>
      <t>['</t>
    </r>
    <r>
      <rPr>
        <sz val="12"/>
        <color rgb="FFC00000"/>
        <rFont val="Arial"/>
        <family val="2"/>
      </rPr>
      <t>DES</t>
    </r>
    <r>
      <rPr>
        <sz val="12"/>
        <color theme="1"/>
        <rFont val="Arial"/>
        <family val="2"/>
      </rPr>
      <t>', '</t>
    </r>
    <r>
      <rPr>
        <sz val="12"/>
        <color rgb="FFC00000"/>
        <rFont val="Arial"/>
        <family val="2"/>
      </rPr>
      <t>BCHE</t>
    </r>
    <r>
      <rPr>
        <sz val="12"/>
        <color theme="1"/>
        <rFont val="Arial"/>
        <family val="2"/>
      </rPr>
      <t>']</t>
    </r>
  </si>
  <si>
    <r>
      <t>['FAM83D', 'SBSPON', '</t>
    </r>
    <r>
      <rPr>
        <sz val="12"/>
        <color rgb="FFC00000"/>
        <rFont val="Arial"/>
        <family val="2"/>
      </rPr>
      <t>DES</t>
    </r>
    <r>
      <rPr>
        <sz val="12"/>
        <color theme="1"/>
        <rFont val="Arial"/>
        <family val="2"/>
      </rPr>
      <t>', 'ACTG2', 'CNN1', '</t>
    </r>
    <r>
      <rPr>
        <sz val="12"/>
        <color rgb="FFC00000"/>
        <rFont val="Arial"/>
        <family val="2"/>
      </rPr>
      <t>BCHE</t>
    </r>
    <r>
      <rPr>
        <sz val="12"/>
        <color theme="1"/>
        <rFont val="Arial"/>
        <family val="2"/>
      </rPr>
      <t>', 'SMOC2', 'MYLK', 'ACTA2', 'TAGLN']</t>
    </r>
  </si>
  <si>
    <r>
      <t>['PRUNE2', 'DES', 'BCHE', 'SYNPO2', 'RAMP1', 'PDLIM3', '</t>
    </r>
    <r>
      <rPr>
        <sz val="12"/>
        <color rgb="FFC00000"/>
        <rFont val="Arial"/>
        <family val="2"/>
      </rPr>
      <t>ACTG2</t>
    </r>
    <r>
      <rPr>
        <sz val="12"/>
        <color theme="1"/>
        <rFont val="Arial"/>
        <family val="2"/>
      </rPr>
      <t>', 'CNN1', 'MYH11', 'SVIL']</t>
    </r>
  </si>
  <si>
    <t>Blood vessel EC</t>
  </si>
  <si>
    <t>EC venous systemic</t>
  </si>
  <si>
    <t>Systemic venous endothelial cell</t>
  </si>
  <si>
    <r>
      <t>['</t>
    </r>
    <r>
      <rPr>
        <sz val="12"/>
        <color rgb="FF00B050"/>
        <rFont val="Arial"/>
        <family val="2"/>
      </rPr>
      <t>PLVAP</t>
    </r>
    <r>
      <rPr>
        <sz val="12"/>
        <color theme="1"/>
        <rFont val="Arial"/>
        <family val="2"/>
      </rPr>
      <t>', 'EMCN']</t>
    </r>
  </si>
  <si>
    <r>
      <t>['</t>
    </r>
    <r>
      <rPr>
        <sz val="12"/>
        <color rgb="FF00B050"/>
        <rFont val="Arial"/>
        <family val="2"/>
      </rPr>
      <t>PLVAP</t>
    </r>
    <r>
      <rPr>
        <sz val="12"/>
        <color theme="1"/>
        <rFont val="Arial"/>
        <family val="2"/>
      </rPr>
      <t>', 'CD34']</t>
    </r>
  </si>
  <si>
    <r>
      <t>['</t>
    </r>
    <r>
      <rPr>
        <sz val="12"/>
        <color rgb="FF00B050"/>
        <rFont val="Arial"/>
        <family val="2"/>
      </rPr>
      <t>PLVAP</t>
    </r>
    <r>
      <rPr>
        <sz val="12"/>
        <color theme="1"/>
        <rFont val="Arial"/>
        <family val="2"/>
      </rPr>
      <t>', 'ADGRL4', 'ACKR1', 'EMCN', 'SNCG', 'VWF', 'DUSP23', 'GNG11', 'SPARCL1', 'EPAS1']</t>
    </r>
  </si>
  <si>
    <r>
      <t>['</t>
    </r>
    <r>
      <rPr>
        <sz val="12"/>
        <color rgb="FF00B050"/>
        <rFont val="Arial"/>
        <family val="2"/>
      </rPr>
      <t>PLVAP</t>
    </r>
    <r>
      <rPr>
        <sz val="12"/>
        <color theme="1"/>
        <rFont val="Arial"/>
        <family val="2"/>
      </rPr>
      <t>', 'CD34', 'ADGRL4', 'NRN1', 'DIPK2B', 'ACKR1', 'SNCG', 'VWF', 'DUSP23', 'EPAS1']</t>
    </r>
  </si>
  <si>
    <t>EC arterial</t>
  </si>
  <si>
    <t>Arterial endothelial cell</t>
  </si>
  <si>
    <r>
      <t>['</t>
    </r>
    <r>
      <rPr>
        <sz val="12"/>
        <color rgb="FF00B050"/>
        <rFont val="Arial"/>
        <family val="2"/>
      </rPr>
      <t>DKK2</t>
    </r>
    <r>
      <rPr>
        <sz val="12"/>
        <color theme="1"/>
        <rFont val="Arial"/>
        <family val="2"/>
      </rPr>
      <t>']</t>
    </r>
  </si>
  <si>
    <r>
      <t>['</t>
    </r>
    <r>
      <rPr>
        <sz val="12"/>
        <color rgb="FF00B050"/>
        <rFont val="Arial"/>
        <family val="2"/>
      </rPr>
      <t>DKK2</t>
    </r>
    <r>
      <rPr>
        <sz val="12"/>
        <color theme="1"/>
        <rFont val="Arial"/>
        <family val="2"/>
      </rPr>
      <t>', '</t>
    </r>
    <r>
      <rPr>
        <sz val="12"/>
        <color rgb="FFC00000"/>
        <rFont val="Arial"/>
        <family val="2"/>
      </rPr>
      <t>GJA5</t>
    </r>
    <r>
      <rPr>
        <sz val="12"/>
        <color theme="1"/>
        <rFont val="Arial"/>
        <family val="2"/>
      </rPr>
      <t>']</t>
    </r>
  </si>
  <si>
    <r>
      <t>['</t>
    </r>
    <r>
      <rPr>
        <sz val="12"/>
        <color rgb="FF00B050"/>
        <rFont val="Arial"/>
        <family val="2"/>
      </rPr>
      <t>DKK2</t>
    </r>
    <r>
      <rPr>
        <sz val="12"/>
        <color theme="1"/>
        <rFont val="Arial"/>
        <family val="2"/>
      </rPr>
      <t>', '</t>
    </r>
    <r>
      <rPr>
        <sz val="12"/>
        <color rgb="FFC00000"/>
        <rFont val="Arial"/>
        <family val="2"/>
      </rPr>
      <t>GJA5</t>
    </r>
    <r>
      <rPr>
        <sz val="12"/>
        <color theme="1"/>
        <rFont val="Arial"/>
        <family val="2"/>
      </rPr>
      <t>', 'HEY1', 'EFNB2', 'IGFBP3', 'CXCL12', 'FAM107A', 'PTPRB', 'SRPX', 'TMEM100']</t>
    </r>
  </si>
  <si>
    <r>
      <t>['</t>
    </r>
    <r>
      <rPr>
        <sz val="12"/>
        <color rgb="FF00B050"/>
        <rFont val="Arial"/>
        <family val="2"/>
      </rPr>
      <t>DKK2</t>
    </r>
    <r>
      <rPr>
        <sz val="12"/>
        <color theme="1"/>
        <rFont val="Arial"/>
        <family val="2"/>
      </rPr>
      <t>', 'GJA5', 'CXCL12', 'ENPP2', 'THSD7A', 'SOX17', 'EFNB2', 'HEY1', 'IGFBP3', 'SERPINE2']</t>
    </r>
  </si>
  <si>
    <t>EC venous pulmonary</t>
  </si>
  <si>
    <t>Venous endothelial cell</t>
  </si>
  <si>
    <r>
      <t>['</t>
    </r>
    <r>
      <rPr>
        <sz val="12"/>
        <color rgb="FFC00000"/>
        <rFont val="Arial"/>
        <family val="2"/>
      </rPr>
      <t>ACKR1</t>
    </r>
    <r>
      <rPr>
        <sz val="12"/>
        <color theme="1"/>
        <rFont val="Arial"/>
        <family val="2"/>
      </rPr>
      <t>', '</t>
    </r>
    <r>
      <rPr>
        <sz val="12"/>
        <color rgb="FF00B050"/>
        <rFont val="Arial"/>
        <family val="2"/>
      </rPr>
      <t>SRPX</t>
    </r>
    <r>
      <rPr>
        <sz val="12"/>
        <color theme="1"/>
        <rFont val="Arial"/>
        <family val="2"/>
      </rPr>
      <t>']</t>
    </r>
  </si>
  <si>
    <r>
      <t>['</t>
    </r>
    <r>
      <rPr>
        <sz val="12"/>
        <color rgb="FFC00000"/>
        <rFont val="Arial"/>
        <family val="2"/>
      </rPr>
      <t>CCL23</t>
    </r>
    <r>
      <rPr>
        <sz val="12"/>
        <color theme="1"/>
        <rFont val="Arial"/>
        <family val="2"/>
      </rPr>
      <t>', '</t>
    </r>
    <r>
      <rPr>
        <sz val="12"/>
        <color rgb="FF00B050"/>
        <rFont val="Arial"/>
        <family val="2"/>
      </rPr>
      <t>SRPX</t>
    </r>
    <r>
      <rPr>
        <sz val="12"/>
        <color theme="1"/>
        <rFont val="Arial"/>
        <family val="2"/>
      </rPr>
      <t>']</t>
    </r>
  </si>
  <si>
    <r>
      <t>['PLA1A', '</t>
    </r>
    <r>
      <rPr>
        <sz val="12"/>
        <color rgb="FFC00000"/>
        <rFont val="Arial"/>
        <family val="2"/>
      </rPr>
      <t>CCL23</t>
    </r>
    <r>
      <rPr>
        <sz val="12"/>
        <color theme="1"/>
        <rFont val="Arial"/>
        <family val="2"/>
      </rPr>
      <t>', 'RGS5_ENSG00000143248', 'PLAT', 'ACKR1', '</t>
    </r>
    <r>
      <rPr>
        <sz val="12"/>
        <color rgb="FF00B050"/>
        <rFont val="Arial"/>
        <family val="2"/>
      </rPr>
      <t>SRPX</t>
    </r>
    <r>
      <rPr>
        <sz val="12"/>
        <color theme="1"/>
        <rFont val="Arial"/>
        <family val="2"/>
      </rPr>
      <t>', 'PTPRB', 'SLCO2A1', 'VWF', 'RAMP3']</t>
    </r>
  </si>
  <si>
    <r>
      <t>['CCL23', 'PLA1A', 'ADGRG6', 'SELP', 'IL1R1', '</t>
    </r>
    <r>
      <rPr>
        <sz val="12"/>
        <color rgb="FF00B050"/>
        <rFont val="Arial"/>
        <family val="2"/>
      </rPr>
      <t>SRPX</t>
    </r>
    <r>
      <rPr>
        <sz val="12"/>
        <color theme="1"/>
        <rFont val="Arial"/>
        <family val="2"/>
      </rPr>
      <t>', '</t>
    </r>
    <r>
      <rPr>
        <sz val="12"/>
        <color rgb="FFC00000"/>
        <rFont val="Arial"/>
        <family val="2"/>
      </rPr>
      <t>ACKR1</t>
    </r>
    <r>
      <rPr>
        <sz val="12"/>
        <color theme="1"/>
        <rFont val="Arial"/>
        <family val="2"/>
      </rPr>
      <t>', 'MMRN1', 'C7', 'PTPRB']</t>
    </r>
  </si>
  <si>
    <t>Capillary EC</t>
  </si>
  <si>
    <t>Lymphatic EC cell differentiating</t>
  </si>
  <si>
    <t>['SEMA3D', 'KALRN']</t>
  </si>
  <si>
    <t>['SEMA3D', 'PKHD1L1', 'DOCK5', 'KALRN', 'MAF', 'NR2F1', 'PROX1', 'UTRN', 'NRP2', 'PPFIBP1']</t>
  </si>
  <si>
    <t>EC aerocyte capillary</t>
  </si>
  <si>
    <t>Capillary 2 cell</t>
  </si>
  <si>
    <r>
      <t>['</t>
    </r>
    <r>
      <rPr>
        <sz val="12"/>
        <color rgb="FF00B050"/>
        <rFont val="Arial"/>
        <family val="2"/>
      </rPr>
      <t>EDNRB</t>
    </r>
    <r>
      <rPr>
        <sz val="12"/>
        <color theme="1"/>
        <rFont val="Arial"/>
        <family val="2"/>
      </rPr>
      <t>']</t>
    </r>
  </si>
  <si>
    <r>
      <t>['</t>
    </r>
    <r>
      <rPr>
        <sz val="12"/>
        <color rgb="FF00B050"/>
        <rFont val="Arial"/>
        <family val="2"/>
      </rPr>
      <t>EDNRB</t>
    </r>
    <r>
      <rPr>
        <sz val="12"/>
        <color theme="1"/>
        <rFont val="Arial"/>
        <family val="2"/>
      </rPr>
      <t>', '</t>
    </r>
    <r>
      <rPr>
        <sz val="12"/>
        <color rgb="FFC00000"/>
        <rFont val="Arial"/>
        <family val="2"/>
      </rPr>
      <t>EMCN</t>
    </r>
    <r>
      <rPr>
        <sz val="12"/>
        <color theme="1"/>
        <rFont val="Arial"/>
        <family val="2"/>
      </rPr>
      <t>']</t>
    </r>
  </si>
  <si>
    <r>
      <t>['SOSTDC1', 'S100A3', 'B3GALNT1', 'PRX', 'FRY', 'EDNRB', 'IL1RL1', '</t>
    </r>
    <r>
      <rPr>
        <sz val="12"/>
        <color rgb="FFC00000"/>
        <rFont val="Arial"/>
        <family val="2"/>
      </rPr>
      <t>EMCN</t>
    </r>
    <r>
      <rPr>
        <sz val="12"/>
        <color theme="1"/>
        <rFont val="Arial"/>
        <family val="2"/>
      </rPr>
      <t>', 'CA4', 'ICAM2']</t>
    </r>
  </si>
  <si>
    <r>
      <t>['</t>
    </r>
    <r>
      <rPr>
        <sz val="12"/>
        <color rgb="FF00B050"/>
        <rFont val="Arial"/>
        <family val="2"/>
      </rPr>
      <t>EDNRB</t>
    </r>
    <r>
      <rPr>
        <sz val="12"/>
        <color theme="1"/>
        <rFont val="Arial"/>
        <family val="2"/>
      </rPr>
      <t>', 'SOSTDC1', 'S100A3', 'B3GALNT1', 'EMCN', 'IL1RL1', 'CA4', 'HPGD', 'ICAM2', 'AQP1']</t>
    </r>
  </si>
  <si>
    <t>EC general capillary</t>
  </si>
  <si>
    <t>Capillary 1 cell</t>
  </si>
  <si>
    <r>
      <t>['</t>
    </r>
    <r>
      <rPr>
        <sz val="12"/>
        <color rgb="FF00B050"/>
        <rFont val="Arial"/>
        <family val="2"/>
      </rPr>
      <t>FCN3</t>
    </r>
    <r>
      <rPr>
        <sz val="12"/>
        <color theme="1"/>
        <rFont val="Arial"/>
        <family val="2"/>
      </rPr>
      <t>', '</t>
    </r>
    <r>
      <rPr>
        <sz val="12"/>
        <color rgb="FF00B050"/>
        <rFont val="Arial"/>
        <family val="2"/>
      </rPr>
      <t>CA4</t>
    </r>
    <r>
      <rPr>
        <sz val="12"/>
        <color theme="1"/>
        <rFont val="Arial"/>
        <family val="2"/>
      </rPr>
      <t>']</t>
    </r>
  </si>
  <si>
    <r>
      <t>['</t>
    </r>
    <r>
      <rPr>
        <sz val="12"/>
        <color rgb="FF00B050"/>
        <rFont val="Arial"/>
        <family val="2"/>
      </rPr>
      <t>CA4</t>
    </r>
    <r>
      <rPr>
        <sz val="12"/>
        <color theme="1"/>
        <rFont val="Arial"/>
        <family val="2"/>
      </rPr>
      <t>', '</t>
    </r>
    <r>
      <rPr>
        <sz val="12"/>
        <color rgb="FF00B050"/>
        <rFont val="Arial"/>
        <family val="2"/>
      </rPr>
      <t>FCN3</t>
    </r>
    <r>
      <rPr>
        <sz val="12"/>
        <color theme="1"/>
        <rFont val="Arial"/>
        <family val="2"/>
      </rPr>
      <t>']</t>
    </r>
  </si>
  <si>
    <r>
      <t>['SLC6A4', 'BTNL9', '</t>
    </r>
    <r>
      <rPr>
        <sz val="12"/>
        <color rgb="FF00B050"/>
        <rFont val="Arial"/>
        <family val="2"/>
      </rPr>
      <t>FCN3</t>
    </r>
    <r>
      <rPr>
        <sz val="12"/>
        <color theme="1"/>
        <rFont val="Arial"/>
        <family val="2"/>
      </rPr>
      <t>', '</t>
    </r>
    <r>
      <rPr>
        <sz val="12"/>
        <color rgb="FF00B050"/>
        <rFont val="Arial"/>
        <family val="2"/>
      </rPr>
      <t>CA4</t>
    </r>
    <r>
      <rPr>
        <sz val="12"/>
        <color theme="1"/>
        <rFont val="Arial"/>
        <family val="2"/>
      </rPr>
      <t>', 'CD36', 'TMEM100', 'RAMP3', 'IL7R', 'HYAL2', 'RAMP2']</t>
    </r>
  </si>
  <si>
    <r>
      <t>['SLC6A4', 'BTNL9', 'CD36', '</t>
    </r>
    <r>
      <rPr>
        <sz val="12"/>
        <color rgb="FF00B050"/>
        <rFont val="Arial"/>
        <family val="2"/>
      </rPr>
      <t>CA4</t>
    </r>
    <r>
      <rPr>
        <sz val="12"/>
        <color theme="1"/>
        <rFont val="Arial"/>
        <family val="2"/>
      </rPr>
      <t>', '</t>
    </r>
    <r>
      <rPr>
        <sz val="12"/>
        <color rgb="FF00B050"/>
        <rFont val="Arial"/>
        <family val="2"/>
      </rPr>
      <t>FCN3</t>
    </r>
    <r>
      <rPr>
        <sz val="12"/>
        <color theme="1"/>
        <rFont val="Arial"/>
        <family val="2"/>
      </rPr>
      <t>', 'NOSTRIN', 'NOTCH4', 'TMEM100', 'PTPRB', 'VWF']</t>
    </r>
  </si>
  <si>
    <t>Airway epithelium</t>
  </si>
  <si>
    <t>Suprabasal</t>
  </si>
  <si>
    <t>Suprabasal cell</t>
  </si>
  <si>
    <r>
      <t>['TNC', 'KRT15', '</t>
    </r>
    <r>
      <rPr>
        <sz val="12"/>
        <color rgb="FFC00000"/>
        <rFont val="Arial"/>
        <family val="2"/>
      </rPr>
      <t>SERPINB4</t>
    </r>
    <r>
      <rPr>
        <sz val="12"/>
        <color theme="1"/>
        <rFont val="Arial"/>
        <family val="2"/>
      </rPr>
      <t>']</t>
    </r>
  </si>
  <si>
    <r>
      <t>['</t>
    </r>
    <r>
      <rPr>
        <sz val="12"/>
        <color rgb="FFC00000"/>
        <rFont val="Arial"/>
        <family val="2"/>
      </rPr>
      <t>CLCA2</t>
    </r>
    <r>
      <rPr>
        <sz val="12"/>
        <color theme="1"/>
        <rFont val="Arial"/>
        <family val="2"/>
      </rPr>
      <t>', 'UPK1B']</t>
    </r>
  </si>
  <si>
    <r>
      <t>['SERPINB13', 'KRT6A', 'SERPINB5', 'TNC', 'KRT15', 'SERPINB4', 'KRT5', 'KRT17', '</t>
    </r>
    <r>
      <rPr>
        <sz val="12"/>
        <color rgb="FFC00000"/>
        <rFont val="Arial"/>
        <family val="2"/>
      </rPr>
      <t>CLCA2</t>
    </r>
    <r>
      <rPr>
        <sz val="12"/>
        <color theme="1"/>
        <rFont val="Arial"/>
        <family val="2"/>
      </rPr>
      <t>', 'S100A2']</t>
    </r>
  </si>
  <si>
    <r>
      <t>['CLCA2', 'LY6D', 'SERPINB13', '</t>
    </r>
    <r>
      <rPr>
        <sz val="12"/>
        <color rgb="FFC00000"/>
        <rFont val="Arial"/>
        <family val="2"/>
      </rPr>
      <t>SERPINB4</t>
    </r>
    <r>
      <rPr>
        <sz val="12"/>
        <color theme="1"/>
        <rFont val="Arial"/>
        <family val="2"/>
      </rPr>
      <t>', 'GPX2', 'UPK1B', 'SERPINB5', 'ADH7', 'SERPINB3', 'RHOV']</t>
    </r>
  </si>
  <si>
    <t>Hillock-like</t>
  </si>
  <si>
    <t>['KRT14', 'KRT6A']</t>
  </si>
  <si>
    <t>['KRT14', 'KRT16', 'DSG3', 'DSC3', 'KRT13', 'KRT6A', 'KRT5', 'SFN', 'S100A2', 'KRT17']</t>
  </si>
  <si>
    <t>Basal resting</t>
  </si>
  <si>
    <t>Basal cell</t>
  </si>
  <si>
    <t>Tuft</t>
  </si>
  <si>
    <t>Tuft cell</t>
  </si>
  <si>
    <r>
      <t>['</t>
    </r>
    <r>
      <rPr>
        <sz val="12"/>
        <color rgb="FF00B050"/>
        <rFont val="Arial"/>
        <family val="2"/>
      </rPr>
      <t>POU2F3</t>
    </r>
    <r>
      <rPr>
        <sz val="12"/>
        <color theme="1"/>
        <rFont val="Arial"/>
        <family val="2"/>
      </rPr>
      <t>', 'HOMER3', 'MYB']</t>
    </r>
  </si>
  <si>
    <r>
      <t>['</t>
    </r>
    <r>
      <rPr>
        <sz val="12"/>
        <color rgb="FFC00000"/>
        <rFont val="Arial"/>
        <family val="2"/>
      </rPr>
      <t>NREP</t>
    </r>
    <r>
      <rPr>
        <sz val="12"/>
        <color theme="1"/>
        <rFont val="Arial"/>
        <family val="2"/>
      </rPr>
      <t>', '</t>
    </r>
    <r>
      <rPr>
        <sz val="12"/>
        <color rgb="FF00B050"/>
        <rFont val="Arial"/>
        <family val="2"/>
      </rPr>
      <t>POU2F3</t>
    </r>
    <r>
      <rPr>
        <sz val="12"/>
        <color theme="1"/>
        <rFont val="Arial"/>
        <family val="2"/>
      </rPr>
      <t>', '</t>
    </r>
    <r>
      <rPr>
        <sz val="12"/>
        <color rgb="FFC00000"/>
        <rFont val="Arial"/>
        <family val="2"/>
      </rPr>
      <t>RASSF6</t>
    </r>
    <r>
      <rPr>
        <sz val="12"/>
        <color theme="1"/>
        <rFont val="Arial"/>
        <family val="2"/>
      </rPr>
      <t>']</t>
    </r>
  </si>
  <si>
    <r>
      <t>['</t>
    </r>
    <r>
      <rPr>
        <sz val="12"/>
        <color rgb="FFC00000"/>
        <rFont val="Arial"/>
        <family val="2"/>
      </rPr>
      <t>NREP</t>
    </r>
    <r>
      <rPr>
        <sz val="12"/>
        <color theme="1"/>
        <rFont val="Arial"/>
        <family val="2"/>
      </rPr>
      <t>', '</t>
    </r>
    <r>
      <rPr>
        <sz val="12"/>
        <color rgb="FF00B050"/>
        <rFont val="Arial"/>
        <family val="2"/>
      </rPr>
      <t>POU2F3</t>
    </r>
    <r>
      <rPr>
        <sz val="12"/>
        <color theme="1"/>
        <rFont val="Arial"/>
        <family val="2"/>
      </rPr>
      <t>', 'IRAG2', 'HOMER3', 'MEX3A', 'MYB', '</t>
    </r>
    <r>
      <rPr>
        <sz val="12"/>
        <color rgb="FFC00000"/>
        <rFont val="Arial"/>
        <family val="2"/>
      </rPr>
      <t>RASSF6</t>
    </r>
    <r>
      <rPr>
        <sz val="12"/>
        <color theme="1"/>
        <rFont val="Arial"/>
        <family val="2"/>
      </rPr>
      <t>', 'KIT', 'CRYM', 'HES6']</t>
    </r>
  </si>
  <si>
    <r>
      <t>['NREP', '</t>
    </r>
    <r>
      <rPr>
        <sz val="12"/>
        <color rgb="FF00B050"/>
        <rFont val="Arial"/>
        <family val="2"/>
      </rPr>
      <t>POU2F3</t>
    </r>
    <r>
      <rPr>
        <sz val="12"/>
        <color theme="1"/>
        <rFont val="Arial"/>
        <family val="2"/>
      </rPr>
      <t>', 'IL23A', 'MEX3A', 'RASSF6', 'FOXI1', 'HEPACAM2', 'HES6', 'CRYM', 'KIT']</t>
    </r>
  </si>
  <si>
    <t>Submucosal Gland</t>
  </si>
  <si>
    <t>SMG mucous</t>
  </si>
  <si>
    <t>Mucous cell</t>
  </si>
  <si>
    <r>
      <t>['</t>
    </r>
    <r>
      <rPr>
        <sz val="12"/>
        <color rgb="FF00B050"/>
        <rFont val="Arial"/>
        <family val="2"/>
      </rPr>
      <t>BPIFB2</t>
    </r>
    <r>
      <rPr>
        <sz val="12"/>
        <color theme="1"/>
        <rFont val="Arial"/>
        <family val="2"/>
      </rPr>
      <t>']</t>
    </r>
  </si>
  <si>
    <r>
      <t>['</t>
    </r>
    <r>
      <rPr>
        <sz val="12"/>
        <color rgb="FF00B050"/>
        <rFont val="Arial"/>
        <family val="2"/>
      </rPr>
      <t>BPIFB2</t>
    </r>
    <r>
      <rPr>
        <sz val="12"/>
        <color theme="1"/>
        <rFont val="Arial"/>
        <family val="2"/>
      </rPr>
      <t>', 'NKX3-1', 'TFF1', 'HMGCS2', 'GLYATL2', 'DEFB1', 'FAM3B', 'GOLM1', 'FGGY', 'MUC5B']</t>
    </r>
  </si>
  <si>
    <r>
      <t>['</t>
    </r>
    <r>
      <rPr>
        <sz val="12"/>
        <color rgb="FF00B050"/>
        <rFont val="Arial"/>
        <family val="2"/>
      </rPr>
      <t>BPIFB2</t>
    </r>
    <r>
      <rPr>
        <sz val="12"/>
        <color theme="1"/>
        <rFont val="Arial"/>
        <family val="2"/>
      </rPr>
      <t>', 'TFF1', 'NKX3-1', 'ENTPD8', 'B3GNT6', 'CGREF1', 'GLYATL2', 'MUC5B', 'DEFB1', 'TCN1']</t>
    </r>
  </si>
  <si>
    <r>
      <t>SMG serous (</t>
    </r>
    <r>
      <rPr>
        <sz val="12"/>
        <color rgb="FFFF0000"/>
        <rFont val="Arial"/>
        <family val="2"/>
      </rPr>
      <t>nasal</t>
    </r>
    <r>
      <rPr>
        <sz val="12"/>
        <color theme="1"/>
        <rFont val="Arial"/>
        <family val="2"/>
      </rPr>
      <t>)</t>
    </r>
  </si>
  <si>
    <t>['STATH']</t>
  </si>
  <si>
    <t>['STATH', 'MUC7', 'ODAM', 'SIX3-AS1', 'GJC3', 'PIP', 'C6orf58', 'S100A1', 'ZG16B', 'LTF']</t>
  </si>
  <si>
    <t>SMG serous (bronchial)</t>
  </si>
  <si>
    <t>Serous cell</t>
  </si>
  <si>
    <r>
      <t>['PRR4', '</t>
    </r>
    <r>
      <rPr>
        <sz val="12"/>
        <color rgb="FFC00000"/>
        <rFont val="Arial"/>
        <family val="2"/>
      </rPr>
      <t>C6orf58</t>
    </r>
    <r>
      <rPr>
        <sz val="12"/>
        <color theme="1"/>
        <rFont val="Arial"/>
        <family val="2"/>
      </rPr>
      <t>']</t>
    </r>
  </si>
  <si>
    <r>
      <t>['</t>
    </r>
    <r>
      <rPr>
        <sz val="12"/>
        <color rgb="FFC00000"/>
        <rFont val="Arial"/>
        <family val="2"/>
      </rPr>
      <t>PRB3</t>
    </r>
    <r>
      <rPr>
        <sz val="12"/>
        <color theme="1"/>
        <rFont val="Arial"/>
        <family val="2"/>
      </rPr>
      <t>']</t>
    </r>
  </si>
  <si>
    <r>
      <t>['</t>
    </r>
    <r>
      <rPr>
        <sz val="12"/>
        <color rgb="FFC00000"/>
        <rFont val="Arial"/>
        <family val="2"/>
      </rPr>
      <t>PRB3</t>
    </r>
    <r>
      <rPr>
        <sz val="12"/>
        <color theme="1"/>
        <rFont val="Arial"/>
        <family val="2"/>
      </rPr>
      <t>', 'LINC01829', 'PRR4', 'S100A1', 'C6orf58', 'PIP', 'APIP', 'LTF', 'SLC12A2', 'ZG16B']</t>
    </r>
  </si>
  <si>
    <r>
      <t>['LPO', '</t>
    </r>
    <r>
      <rPr>
        <sz val="12"/>
        <color rgb="FFC00000"/>
        <rFont val="Arial"/>
        <family val="2"/>
      </rPr>
      <t>C6orf58</t>
    </r>
    <r>
      <rPr>
        <sz val="12"/>
        <color theme="1"/>
        <rFont val="Arial"/>
        <family val="2"/>
      </rPr>
      <t>', 'DMBT1', 'PRB3', 'AC020656.1', 'PRB4', 'PIP', 'S100A1', 'SERPINA3', 'LTF']</t>
    </r>
  </si>
  <si>
    <t>Alveolar epithelium</t>
  </si>
  <si>
    <t>AT2</t>
  </si>
  <si>
    <t>Alveolar type 2 cell</t>
  </si>
  <si>
    <r>
      <t>['</t>
    </r>
    <r>
      <rPr>
        <sz val="12"/>
        <color rgb="FF00B050"/>
        <rFont val="Arial"/>
        <family val="2"/>
      </rPr>
      <t>SFTPA1</t>
    </r>
    <r>
      <rPr>
        <sz val="12"/>
        <color theme="1"/>
        <rFont val="Arial"/>
        <family val="2"/>
      </rPr>
      <t>']</t>
    </r>
  </si>
  <si>
    <r>
      <t>['</t>
    </r>
    <r>
      <rPr>
        <sz val="12"/>
        <color rgb="FFC00000"/>
        <rFont val="Arial"/>
        <family val="2"/>
      </rPr>
      <t>NAPSA</t>
    </r>
    <r>
      <rPr>
        <sz val="12"/>
        <color theme="1"/>
        <rFont val="Arial"/>
        <family val="2"/>
      </rPr>
      <t>', '</t>
    </r>
    <r>
      <rPr>
        <sz val="12"/>
        <color rgb="FF00B050"/>
        <rFont val="Arial"/>
        <family val="2"/>
      </rPr>
      <t>SFTPA1</t>
    </r>
    <r>
      <rPr>
        <sz val="12"/>
        <color theme="1"/>
        <rFont val="Arial"/>
        <family val="2"/>
      </rPr>
      <t>']</t>
    </r>
  </si>
  <si>
    <r>
      <t>['PLA2G1B', 'LRRK2', 'ABCA3', 'PGC', 'PEBP4', '</t>
    </r>
    <r>
      <rPr>
        <sz val="12"/>
        <color rgb="FF00B050"/>
        <rFont val="Arial"/>
        <family val="2"/>
      </rPr>
      <t>SFTPA1</t>
    </r>
    <r>
      <rPr>
        <sz val="12"/>
        <color theme="1"/>
        <rFont val="Arial"/>
        <family val="2"/>
      </rPr>
      <t>', 'SFTPA2', 'SFTPD', 'LAMP3', '</t>
    </r>
    <r>
      <rPr>
        <sz val="12"/>
        <color rgb="FFC00000"/>
        <rFont val="Arial"/>
        <family val="2"/>
      </rPr>
      <t>NAPSA</t>
    </r>
    <r>
      <rPr>
        <sz val="12"/>
        <color theme="1"/>
        <rFont val="Arial"/>
        <family val="2"/>
      </rPr>
      <t>']</t>
    </r>
  </si>
  <si>
    <r>
      <t>['NAPSA', 'SFTPD', 'LRRK2', 'PGC', 'ABCA3', '</t>
    </r>
    <r>
      <rPr>
        <sz val="12"/>
        <color rgb="FF00B050"/>
        <rFont val="Arial"/>
        <family val="2"/>
      </rPr>
      <t>SFTPA1</t>
    </r>
    <r>
      <rPr>
        <sz val="12"/>
        <color theme="1"/>
        <rFont val="Arial"/>
        <family val="2"/>
      </rPr>
      <t>', 'SFTPA2', 'PEBP4', 'WIF1', 'LAMP3']</t>
    </r>
  </si>
  <si>
    <t>AT2 proliferating</t>
  </si>
  <si>
    <t>['PEG10', 'PRC1', 'TOP2A']</t>
  </si>
  <si>
    <t>['PEG10', 'PCLAF', 'PRC1', 'TK1', 'TOP2A', 'TYMS', 'BIRC5', 'UBE2C', 'RRM2', 'NUSAP1']</t>
  </si>
  <si>
    <t>AT0</t>
  </si>
  <si>
    <t>Respiratory airway secretory cell</t>
  </si>
  <si>
    <t>pre-TB secretory</t>
  </si>
  <si>
    <t>Secretory cell</t>
  </si>
  <si>
    <t>Club/Goblet</t>
  </si>
  <si>
    <r>
      <t>Club (</t>
    </r>
    <r>
      <rPr>
        <sz val="12"/>
        <color rgb="FFFF0000"/>
        <rFont val="Arial"/>
        <family val="2"/>
      </rPr>
      <t>nasal</t>
    </r>
    <r>
      <rPr>
        <sz val="12"/>
        <color theme="1"/>
        <rFont val="Arial"/>
        <family val="2"/>
      </rPr>
      <t>)</t>
    </r>
  </si>
  <si>
    <t>['TFCP2L1', 'PSCA']</t>
  </si>
  <si>
    <t>['UGT2A1', 'ASRGL1', 'LYPD2', 'TFCP2L1', 'PSCA', 'TPD52L1', 'ALDH3A1', 'SERPINB3', 'LCN2', 'EPAS1']</t>
  </si>
  <si>
    <r>
      <t>Goblet (</t>
    </r>
    <r>
      <rPr>
        <sz val="12"/>
        <color rgb="FFFF0000"/>
        <rFont val="Arial"/>
        <family val="2"/>
      </rPr>
      <t>nasal</t>
    </r>
    <r>
      <rPr>
        <sz val="12"/>
        <color theme="1"/>
        <rFont val="Arial"/>
        <family val="2"/>
      </rPr>
      <t>)</t>
    </r>
  </si>
  <si>
    <t>['LYPD2', 'MUC5AC']</t>
  </si>
  <si>
    <t>['CEACAM5', 'LYNX1', 'LYPD2', 'PI3', 'MUC5AC', 'BPIFA1', 'PSCA', 'MUC16', 'MUC4', 'S100P']</t>
  </si>
  <si>
    <t>Goblet (bronchial)</t>
  </si>
  <si>
    <t>['PLCG2', 'ANKRD36C']</t>
  </si>
  <si>
    <t>['SLC26A4', 'RIMS1', 'PLCG2', 'ANKRD36C', 'SAA2', 'SAA1', 'MUC5AC', 'MUC5B', 'SCGB1A1', 'RARRES1']</t>
  </si>
  <si>
    <t>Goblet (subsegmental)</t>
  </si>
  <si>
    <t>['MTRNR2L8', 'SCGB1A1']</t>
  </si>
  <si>
    <t>['MTRNR2L10', 'MTRNR2L8', 'TSPAN8', 'MUC5B', 'SCGB1A1', 'SCGB3A1', 'MTRNR2L12', 'C3_ENSG00000125730', 'CXCL17', 'AGR2']</t>
  </si>
  <si>
    <t>Club (non-nasal)</t>
  </si>
  <si>
    <t>Goblet cell</t>
  </si>
  <si>
    <r>
      <t>['</t>
    </r>
    <r>
      <rPr>
        <sz val="12"/>
        <color rgb="FFC00000"/>
        <rFont val="Arial"/>
        <family val="2"/>
      </rPr>
      <t>CYP2F1</t>
    </r>
    <r>
      <rPr>
        <sz val="12"/>
        <color theme="1"/>
        <rFont val="Arial"/>
        <family val="2"/>
      </rPr>
      <t>', 'SCGB1A1']</t>
    </r>
  </si>
  <si>
    <t>['MUC5AC', 'PSCA']</t>
  </si>
  <si>
    <t>['CXCL6', 'CYP2F1', 'CLCA2', 'TSPAN8', 'SCGB1A1', 'MUC5B', 'MSMB', 'TGM2', 'KLK11', 'SCGB3A1']</t>
  </si>
  <si>
    <r>
      <t>['MUC5AC', 'LYPD2', 'PSCA', '</t>
    </r>
    <r>
      <rPr>
        <sz val="12"/>
        <color rgb="FFC00000"/>
        <rFont val="Arial"/>
        <family val="2"/>
      </rPr>
      <t>CYP2F1</t>
    </r>
    <r>
      <rPr>
        <sz val="12"/>
        <color theme="1"/>
        <rFont val="Arial"/>
        <family val="2"/>
      </rPr>
      <t>', 'VMO1', 'S100P', 'MSMB', 'TSPAN8', 'LCN2', 'BPIFB1']</t>
    </r>
  </si>
  <si>
    <t>SMG duct</t>
  </si>
  <si>
    <t>SMG Basal/Duct cell</t>
  </si>
  <si>
    <t>['GLYATL2', 'DMBT1']</t>
  </si>
  <si>
    <r>
      <t>['FOXQ1', '</t>
    </r>
    <r>
      <rPr>
        <sz val="12"/>
        <color rgb="FFC00000"/>
        <rFont val="Arial"/>
        <family val="2"/>
      </rPr>
      <t>MMP7</t>
    </r>
    <r>
      <rPr>
        <sz val="12"/>
        <color theme="1"/>
        <rFont val="Arial"/>
        <family val="2"/>
      </rPr>
      <t>']</t>
    </r>
  </si>
  <si>
    <r>
      <t>['MIA', '</t>
    </r>
    <r>
      <rPr>
        <sz val="12"/>
        <color rgb="FFC00000"/>
        <rFont val="Arial"/>
        <family val="2"/>
      </rPr>
      <t>MMP7</t>
    </r>
    <r>
      <rPr>
        <sz val="12"/>
        <color theme="1"/>
        <rFont val="Arial"/>
        <family val="2"/>
      </rPr>
      <t>', 'GLYATL2', 'CCL28', 'DMBT1', 'PIP', 'LTF', 'TCN1', 'RARRES1', 'AZGP1']</t>
    </r>
  </si>
  <si>
    <t>['FOXQ1', 'MMP7', 'ANPEP', 'CFB', 'DEFB1', 'CCL28', 'PROM1', 'TCN1', 'MIA', 'RARRES1']</t>
  </si>
  <si>
    <t>AT1</t>
  </si>
  <si>
    <t>Alveolar type 1 cell</t>
  </si>
  <si>
    <r>
      <t>['</t>
    </r>
    <r>
      <rPr>
        <sz val="12"/>
        <color rgb="FFC00000"/>
        <rFont val="Arial"/>
        <family val="2"/>
      </rPr>
      <t>AGER</t>
    </r>
    <r>
      <rPr>
        <sz val="12"/>
        <color theme="1"/>
        <rFont val="Arial"/>
        <family val="2"/>
      </rPr>
      <t>']</t>
    </r>
  </si>
  <si>
    <r>
      <t>['</t>
    </r>
    <r>
      <rPr>
        <sz val="12"/>
        <color rgb="FFC00000"/>
        <rFont val="Arial"/>
        <family val="2"/>
      </rPr>
      <t>RTKN2</t>
    </r>
    <r>
      <rPr>
        <sz val="12"/>
        <color theme="1"/>
        <rFont val="Arial"/>
        <family val="2"/>
      </rPr>
      <t>']</t>
    </r>
  </si>
  <si>
    <r>
      <t>['AGER', '</t>
    </r>
    <r>
      <rPr>
        <sz val="12"/>
        <color rgb="FFC00000"/>
        <rFont val="Arial"/>
        <family val="2"/>
      </rPr>
      <t>RTKN2</t>
    </r>
    <r>
      <rPr>
        <sz val="12"/>
        <color theme="1"/>
        <rFont val="Arial"/>
        <family val="2"/>
      </rPr>
      <t>', 'TNNC1', 'SCEL', 'ANKRD29', 'AQP4', 'UPK3B', 'GPRC5A', 'CEACAM6', 'HOPX']</t>
    </r>
  </si>
  <si>
    <r>
      <t>['RTKN2', 'SCEL', '</t>
    </r>
    <r>
      <rPr>
        <sz val="12"/>
        <color rgb="FFC00000"/>
        <rFont val="Arial"/>
        <family val="2"/>
      </rPr>
      <t>AGER</t>
    </r>
    <r>
      <rPr>
        <sz val="12"/>
        <color theme="1"/>
        <rFont val="Arial"/>
        <family val="2"/>
      </rPr>
      <t>', 'ANKRD29', 'NCKAP5', 'CLIC5', 'COL4A3', 'ARHGEF26', 'NTM', 'LAMA3']</t>
    </r>
  </si>
  <si>
    <t>Ionocyte</t>
  </si>
  <si>
    <r>
      <t>['</t>
    </r>
    <r>
      <rPr>
        <sz val="12"/>
        <color rgb="FF00B050"/>
        <rFont val="Arial"/>
        <family val="2"/>
      </rPr>
      <t>ASCL3</t>
    </r>
    <r>
      <rPr>
        <sz val="12"/>
        <color theme="1"/>
        <rFont val="Arial"/>
        <family val="2"/>
      </rPr>
      <t>', '</t>
    </r>
    <r>
      <rPr>
        <sz val="12"/>
        <color rgb="FF00B050"/>
        <rFont val="Arial"/>
        <family val="2"/>
      </rPr>
      <t>BSND</t>
    </r>
    <r>
      <rPr>
        <sz val="12"/>
        <color theme="1"/>
        <rFont val="Arial"/>
        <family val="2"/>
      </rPr>
      <t>']</t>
    </r>
  </si>
  <si>
    <r>
      <t>['</t>
    </r>
    <r>
      <rPr>
        <sz val="12"/>
        <color rgb="FF00B050"/>
        <rFont val="Arial"/>
        <family val="2"/>
      </rPr>
      <t>ASCL3</t>
    </r>
    <r>
      <rPr>
        <sz val="12"/>
        <color theme="1"/>
        <rFont val="Arial"/>
        <family val="2"/>
      </rPr>
      <t>', '</t>
    </r>
    <r>
      <rPr>
        <sz val="12"/>
        <color rgb="FF00B050"/>
        <rFont val="Arial"/>
        <family val="2"/>
      </rPr>
      <t>BSND</t>
    </r>
    <r>
      <rPr>
        <sz val="12"/>
        <color theme="1"/>
        <rFont val="Arial"/>
        <family val="2"/>
      </rPr>
      <t>', 'FOXI1', 'CLCNKB', 'ATP6V1G3', 'LINC01187', 'STAP1', 'DGKI', 'CFTR', 'CLCNKA']</t>
    </r>
  </si>
  <si>
    <r>
      <t>['</t>
    </r>
    <r>
      <rPr>
        <sz val="12"/>
        <color rgb="FF00B050"/>
        <rFont val="Arial"/>
        <family val="2"/>
      </rPr>
      <t>ASCL3</t>
    </r>
    <r>
      <rPr>
        <sz val="12"/>
        <color theme="1"/>
        <rFont val="Arial"/>
        <family val="2"/>
      </rPr>
      <t>', 'CLCNKB', 'LINC01187', '</t>
    </r>
    <r>
      <rPr>
        <sz val="12"/>
        <color rgb="FF00B050"/>
        <rFont val="Arial"/>
        <family val="2"/>
      </rPr>
      <t>BSND</t>
    </r>
    <r>
      <rPr>
        <sz val="12"/>
        <color theme="1"/>
        <rFont val="Arial"/>
        <family val="2"/>
      </rPr>
      <t>', 'ATP6V1G3', 'TMPRSS11E', 'CEL', 'BPIFA2', 'CLCNKA', 'STAP1']</t>
    </r>
  </si>
  <si>
    <t>Neuroendocrine</t>
  </si>
  <si>
    <t>Deuterosomal</t>
  </si>
  <si>
    <t>Deuterosomal cell</t>
  </si>
  <si>
    <r>
      <t>['</t>
    </r>
    <r>
      <rPr>
        <sz val="12"/>
        <color rgb="FF00B050"/>
        <rFont val="Arial"/>
        <family val="2"/>
      </rPr>
      <t>CDC20B</t>
    </r>
    <r>
      <rPr>
        <sz val="12"/>
        <color theme="1"/>
        <rFont val="Arial"/>
        <family val="2"/>
      </rPr>
      <t>', 'CEP78']</t>
    </r>
  </si>
  <si>
    <r>
      <t>['</t>
    </r>
    <r>
      <rPr>
        <sz val="12"/>
        <color rgb="FF00B050"/>
        <rFont val="Arial"/>
        <family val="2"/>
      </rPr>
      <t>CDC20B</t>
    </r>
    <r>
      <rPr>
        <sz val="12"/>
        <color theme="1"/>
        <rFont val="Arial"/>
        <family val="2"/>
      </rPr>
      <t>', '</t>
    </r>
    <r>
      <rPr>
        <sz val="12"/>
        <color rgb="FFC00000"/>
        <rFont val="Arial"/>
        <family val="2"/>
      </rPr>
      <t>DEUP1</t>
    </r>
    <r>
      <rPr>
        <sz val="12"/>
        <color theme="1"/>
        <rFont val="Arial"/>
        <family val="2"/>
      </rPr>
      <t>']</t>
    </r>
  </si>
  <si>
    <r>
      <t>['</t>
    </r>
    <r>
      <rPr>
        <sz val="12"/>
        <color rgb="FF00B050"/>
        <rFont val="Arial"/>
        <family val="2"/>
      </rPr>
      <t>CDC20B</t>
    </r>
    <r>
      <rPr>
        <sz val="12"/>
        <color theme="1"/>
        <rFont val="Arial"/>
        <family val="2"/>
      </rPr>
      <t>', 'PLK4', '</t>
    </r>
    <r>
      <rPr>
        <sz val="12"/>
        <color rgb="FFC00000"/>
        <rFont val="Arial"/>
        <family val="2"/>
      </rPr>
      <t>DEUP1</t>
    </r>
    <r>
      <rPr>
        <sz val="12"/>
        <color theme="1"/>
        <rFont val="Arial"/>
        <family val="2"/>
      </rPr>
      <t>', 'E2F7', 'CEP78', 'POGLUT3', 'USP13', 'RPL39L', 'CCNO', 'CDC20']</t>
    </r>
  </si>
  <si>
    <r>
      <t>['</t>
    </r>
    <r>
      <rPr>
        <sz val="12"/>
        <color rgb="FF00B050"/>
        <rFont val="Arial"/>
        <family val="2"/>
      </rPr>
      <t>CDC20B</t>
    </r>
    <r>
      <rPr>
        <sz val="12"/>
        <color theme="1"/>
        <rFont val="Arial"/>
        <family val="2"/>
      </rPr>
      <t>', 'FOXN4', 'SHISA8', 'PLK4', 'DEUP1', 'CDC20', 'NEK2', 'POGLUT3', 'MCIDAS', 'E2F7']</t>
    </r>
  </si>
  <si>
    <r>
      <t>Multiciliated (</t>
    </r>
    <r>
      <rPr>
        <sz val="12"/>
        <color rgb="FFFF0000"/>
        <rFont val="Arial"/>
        <family val="2"/>
      </rPr>
      <t>nasal</t>
    </r>
    <r>
      <rPr>
        <sz val="12"/>
        <color theme="1"/>
        <rFont val="Arial"/>
        <family val="2"/>
      </rPr>
      <t>)</t>
    </r>
  </si>
  <si>
    <t>['FMO3', 'MRLN', 'OMG']</t>
  </si>
  <si>
    <t>['FMO3', 'MRLN', 'MPV17L', 'DIAPH2', 'OMG', 'RP11-356K23.1', 'PROM1', 'ARL3', 'LYPD2', 'MS4A8']</t>
  </si>
  <si>
    <t>Multiciliated (non-nasal)</t>
  </si>
  <si>
    <t>Ciliated cell</t>
  </si>
  <si>
    <r>
      <t>['</t>
    </r>
    <r>
      <rPr>
        <sz val="12"/>
        <color rgb="FF00B050"/>
        <rFont val="Arial"/>
        <family val="2"/>
      </rPr>
      <t>C1orf194</t>
    </r>
    <r>
      <rPr>
        <sz val="12"/>
        <color theme="1"/>
        <rFont val="Arial"/>
        <family val="2"/>
      </rPr>
      <t>', 'MS4A8']</t>
    </r>
  </si>
  <si>
    <r>
      <t>['</t>
    </r>
    <r>
      <rPr>
        <sz val="12"/>
        <color rgb="FF00B050"/>
        <rFont val="Arial"/>
        <family val="2"/>
      </rPr>
      <t>C1orf194</t>
    </r>
    <r>
      <rPr>
        <sz val="12"/>
        <color theme="1"/>
        <rFont val="Arial"/>
        <family val="2"/>
      </rPr>
      <t>', '</t>
    </r>
    <r>
      <rPr>
        <sz val="12"/>
        <color rgb="FFC00000"/>
        <rFont val="Arial"/>
        <family val="2"/>
      </rPr>
      <t>C9orf24</t>
    </r>
    <r>
      <rPr>
        <sz val="12"/>
        <color theme="1"/>
        <rFont val="Arial"/>
        <family val="2"/>
      </rPr>
      <t>']</t>
    </r>
  </si>
  <si>
    <r>
      <t>['CFAP157', 'CCDC78', 'SNTN', 'DYNLRB2', '</t>
    </r>
    <r>
      <rPr>
        <sz val="12"/>
        <color rgb="FF00B050"/>
        <rFont val="Arial"/>
        <family val="2"/>
      </rPr>
      <t>C1orf194</t>
    </r>
    <r>
      <rPr>
        <sz val="12"/>
        <color theme="1"/>
        <rFont val="Arial"/>
        <family val="2"/>
      </rPr>
      <t>', 'MS4A8', 'CAPSL', 'DNAH12', 'C9orf24', 'RSPH1']</t>
    </r>
  </si>
  <si>
    <r>
      <t>['TMEM190', 'SNTN', 'FAM92B', 'DYNLRB2', '</t>
    </r>
    <r>
      <rPr>
        <sz val="12"/>
        <color rgb="FF00B050"/>
        <rFont val="Arial"/>
        <family val="2"/>
      </rPr>
      <t>C1orf194</t>
    </r>
    <r>
      <rPr>
        <sz val="12"/>
        <color theme="1"/>
        <rFont val="Arial"/>
        <family val="2"/>
      </rPr>
      <t>', 'C9orf24', 'CAPSL', 'RSPH1', 'LRRIQ1', 'C9orf116']</t>
    </r>
  </si>
  <si>
    <t>Innate lymphoid cell</t>
  </si>
  <si>
    <t>['TRAF3IP3', 'RESF1', 'CXCR3']</t>
  </si>
  <si>
    <t>['TRAF3IP3', 'SEPTIN1', 'TBX21', 'RESF1', 'CXCR3', 'ACAP1', 'CTSW', 'CD2', 'IL7R', 'SEC61A1']</t>
  </si>
  <si>
    <t>Megakaryocyte/Platelet</t>
  </si>
  <si>
    <t>['PF4', 'TUBB1']</t>
  </si>
  <si>
    <t>['PF4', 'ACRBP', 'CMTM5', 'TUBB1', 'GP9', 'TREML1', 'PPBP', 'ITGA2B', 'RGS18', 'NRGN']</t>
  </si>
  <si>
    <t>Myoepithelial cell</t>
  </si>
  <si>
    <t>['SFRP1', 'MIA']</t>
  </si>
  <si>
    <t>['SFRP1', 'KRT14', 'COL17A1', 'KRT23', 'CXCL14', 'MIA', 'ACTG2', 'CNN1', 'KRT17', 'SAA1']</t>
  </si>
  <si>
    <t>Neutrophil</t>
  </si>
  <si>
    <t>['FCGR3B']</t>
  </si>
  <si>
    <t>['FCGR3B', 'CXCR2', 'CMTM2', 'MMP9', 'VNN2', 'GCA', 'S100A8', 'FPR1', 'BCL2A1', 'EVI2B']</t>
  </si>
  <si>
    <t>Pulmonary neuroendocrine cell</t>
  </si>
  <si>
    <t>T regulatory cell</t>
  </si>
  <si>
    <t>['FOXP3', 'CTLA4']</t>
  </si>
  <si>
    <t>['FOXP3', 'IL2RA', 'CTLA4', 'LINC01943', 'TIGIT', 'ICOS', 'TRAF3', 'DUSP16', 'BATF', 'LTB']</t>
  </si>
  <si>
    <r>
      <t>['</t>
    </r>
    <r>
      <rPr>
        <sz val="12"/>
        <color rgb="FF00B050"/>
        <rFont val="Arial"/>
        <family val="2"/>
      </rPr>
      <t>CHGA</t>
    </r>
    <r>
      <rPr>
        <sz val="12"/>
        <color theme="1"/>
        <rFont val="Arial"/>
        <family val="2"/>
      </rPr>
      <t>', '</t>
    </r>
    <r>
      <rPr>
        <sz val="12"/>
        <color rgb="FF00B050"/>
        <rFont val="Arial"/>
        <family val="2"/>
      </rPr>
      <t>GRP</t>
    </r>
    <r>
      <rPr>
        <sz val="12"/>
        <color theme="1"/>
        <rFont val="Arial"/>
        <family val="2"/>
      </rPr>
      <t>']</t>
    </r>
  </si>
  <si>
    <r>
      <t>['</t>
    </r>
    <r>
      <rPr>
        <sz val="12"/>
        <color rgb="FF00B050"/>
        <rFont val="Arial"/>
        <family val="2"/>
      </rPr>
      <t>GRP</t>
    </r>
    <r>
      <rPr>
        <sz val="12"/>
        <color theme="1"/>
        <rFont val="Arial"/>
        <family val="2"/>
      </rPr>
      <t>', '</t>
    </r>
    <r>
      <rPr>
        <sz val="12"/>
        <color rgb="FF00B050"/>
        <rFont val="Arial"/>
        <family val="2"/>
      </rPr>
      <t>CHGA</t>
    </r>
    <r>
      <rPr>
        <sz val="12"/>
        <color theme="1"/>
        <rFont val="Arial"/>
        <family val="2"/>
      </rPr>
      <t>']</t>
    </r>
  </si>
  <si>
    <r>
      <t>['</t>
    </r>
    <r>
      <rPr>
        <sz val="12"/>
        <color rgb="FF00B050"/>
        <rFont val="Arial"/>
        <family val="2"/>
      </rPr>
      <t>CHGA</t>
    </r>
    <r>
      <rPr>
        <sz val="12"/>
        <color theme="1"/>
        <rFont val="Arial"/>
        <family val="2"/>
      </rPr>
      <t>', '</t>
    </r>
    <r>
      <rPr>
        <sz val="12"/>
        <color rgb="FF00B050"/>
        <rFont val="Arial"/>
        <family val="2"/>
      </rPr>
      <t>GRP</t>
    </r>
    <r>
      <rPr>
        <sz val="12"/>
        <color theme="1"/>
        <rFont val="Arial"/>
        <family val="2"/>
      </rPr>
      <t>', 'ASCL1', 'CALCA', 'KIF1A', 'SCG5', 'SCG3', 'SCGN', 'PCSK1N', 'PHGR1']</t>
    </r>
  </si>
  <si>
    <r>
      <t>['</t>
    </r>
    <r>
      <rPr>
        <sz val="12"/>
        <color rgb="FF00B050"/>
        <rFont val="Arial"/>
        <family val="2"/>
      </rPr>
      <t>GRP</t>
    </r>
    <r>
      <rPr>
        <sz val="12"/>
        <color theme="1"/>
        <rFont val="Arial"/>
        <family val="2"/>
      </rPr>
      <t>', '</t>
    </r>
    <r>
      <rPr>
        <sz val="12"/>
        <color rgb="FF00B050"/>
        <rFont val="Arial"/>
        <family val="2"/>
      </rPr>
      <t>CHGA</t>
    </r>
    <r>
      <rPr>
        <sz val="12"/>
        <color theme="1"/>
        <rFont val="Arial"/>
        <family val="2"/>
      </rPr>
      <t>', 'SCG5', 'GP2', 'SCGN', 'CALCA', 'SCG2', 'RPRM', 'CHGB', 'SCG3']</t>
    </r>
  </si>
  <si>
    <t>Y (Goblet)</t>
  </si>
  <si>
    <t>Y (CD8 T cells)</t>
  </si>
  <si>
    <t>Y (Smooth muscle)</t>
  </si>
  <si>
    <t>Y (Suprabasal)</t>
  </si>
  <si>
    <t>Y (Classical monocyte)</t>
  </si>
  <si>
    <t>HLCA-specific</t>
  </si>
  <si>
    <t>HLCA2CellRef_Match</t>
  </si>
  <si>
    <t>CellRef-specific</t>
  </si>
  <si>
    <t>MatchOrder</t>
  </si>
  <si>
    <t>Level_1_grouping</t>
  </si>
  <si>
    <t>Immune</t>
  </si>
  <si>
    <t>Endothelial</t>
  </si>
  <si>
    <t>Stromal</t>
  </si>
  <si>
    <t>Epithelial</t>
  </si>
  <si>
    <t>clusterName (subject)</t>
  </si>
  <si>
    <t>(predicate)</t>
  </si>
  <si>
    <t>PURL</t>
  </si>
  <si>
    <t>Current CL definition</t>
  </si>
  <si>
    <t>Proposed addition to CL definition or annotation property.</t>
  </si>
  <si>
    <t>skos:exactMatch</t>
  </si>
  <si>
    <t>alveolar macrophage</t>
  </si>
  <si>
    <t>http://purl.obolibrary.org/obo/CL_0000583</t>
  </si>
  <si>
    <t>A tissue-resident macrophage found in the alveoli of the lungs. Ingests small inhaled particles resulting in degradation and presentation of the antigen to immunocompetent cells. Markers include F4/80-positive, CD11b-/low, CD11c-positive, CD68-positive, sialoadhesin-positive, dectin-1-positive, MR-positive, CX3CR1-negative.</t>
  </si>
  <si>
    <t>These cells selectively express the combination of MSR1 and FABP4 transcripts in human lung.</t>
  </si>
  <si>
    <t>skos:relatedMatch</t>
  </si>
  <si>
    <t>CD1c-positive myeloid dendritic cell</t>
  </si>
  <si>
    <t>http://purl.obolibrary.org/obo/CL_0002399</t>
  </si>
  <si>
    <t>A myeloid dendritic cell found in the blood that is CD1c-positive.</t>
  </si>
  <si>
    <t>lung migratory dendritic cell</t>
  </si>
  <si>
    <t>http://purl.obolibrary.org/obo/CL_4033045</t>
  </si>
  <si>
    <t>A dendritic cell that captures antigens in a lung and migrates to a lymph node or to the spleen to activate T cells.</t>
  </si>
  <si>
    <t>These cells selectively express the CCL22 transcript in human lung.</t>
  </si>
  <si>
    <t>non-classical monocyte</t>
  </si>
  <si>
    <t>http://purl.obolibrary.org/obo/CL_0000875</t>
  </si>
  <si>
    <t>A type of monocyte characterized by low expression of CCR2, low responsiveness to monocyte chemoattractant CCL2/MCP1, low phagocytic activity, and decrease size relative to classical monocytes, but increased co-stimulatory activity. May also play a role in tissue repair.</t>
  </si>
  <si>
    <t>These cells selectively express the combination of LILRB2 and LILRB1 transcripts in human lung.</t>
  </si>
  <si>
    <t>mast cell</t>
  </si>
  <si>
    <t>http://purl.obolibrary.org/obo/CL_0000097</t>
  </si>
  <si>
    <t>A cell that is found in almost all tissues containing numerous basophilic granules and capable of releasing large amounts of histamine and heparin upon activation. Progenitors leave bone marrow and mature in connective and mucosal tissue. Mature mast cells are found in all tissues, except the bloodstream. Their phenotype is CD117-high, CD123-negative, CD193-positive, CD200R3-positive, and FceRI-high. Stem-cell factor (KIT-ligand; SCF) is the main controlling signal of their survival and development.</t>
  </si>
  <si>
    <t>These cells selectively express the TPSAB1 transcript in human lung.</t>
  </si>
  <si>
    <t>natural killer cell</t>
  </si>
  <si>
    <t>http://purl.obolibrary.org/obo/CL_0000623</t>
  </si>
  <si>
    <t>A lymphocyte that can spontaneously kill a variety of target cells without prior antigenic activation via germline encoded activation receptors and also regulate immune responses via cytokine release and direct contact with other cells.</t>
  </si>
  <si>
    <t>These cells selectively express the combination of KLRF1 and PRF1 transcripts in human lung.</t>
  </si>
  <si>
    <t>plasma cell</t>
  </si>
  <si>
    <t>http://purl.obolibrary.org/obo/CL_0000786</t>
  </si>
  <si>
    <t>A terminally differentiated, post-mitotic, antibody secreting cell of the B cell lineage with the phenotype CD138-positive, surface immunonoglobulin-negative, and MHC Class II-negative. Plasma cells are oval or round with extensive rough endoplasmic reticulum, a well-developed Golgi apparatus, and a round nucleus having a characteristic cartwheel heterochromatin pattern and are devoted to producing large amounts of immunoglobulin.</t>
  </si>
  <si>
    <t>These cells selectively express the JCHAIN transcript in human lung.</t>
  </si>
  <si>
    <t>http://purl.obolibrary.org/obo/CL_0000236</t>
  </si>
  <si>
    <t>A lymphocyte of B lineage that is capable of B cell mediated immunity.</t>
  </si>
  <si>
    <t>These cells selectively express the combination of MS4A1 and CD79A transcripts in human lung.</t>
  </si>
  <si>
    <t>plasmacytoid dendritic cell</t>
  </si>
  <si>
    <t>http://purl.obolibrary.org/obo/CL_0000784</t>
  </si>
  <si>
    <t>A dendritic cell type of distinct morphology, localization, and surface marker expression (CD123-positive) from other dendritic cell types and associated with early stage immune responses, particularly the release of physiologically abundant amounts of type I interferons in response to infection.</t>
  </si>
  <si>
    <t>These cells selectively express the combination of LILRA4 and JCHAIN transcripts in human lung.</t>
  </si>
  <si>
    <t>endothelial cell of lymphatic vessel</t>
  </si>
  <si>
    <t>http://purl.obolibrary.org/obo/CL_0002138</t>
  </si>
  <si>
    <t>A endothelial cell of a lymphatic vessel. The border of the oak leaf-shaped endothelial cell of initial lymphatics are joined by specialized buttons. The discontinuous feature of buttons distinguishes them from zippers in collecting lymphatics, but both types of junctions are composed of proteins typical of adherens junctions and tight junctions found in the endothelium of blood vessels. Buttons seal the sides of flaps of the oak leaf-shaped endothelial cell, leaving open the tips of flaps as routes for fluid entry without disassembly and reformation of intercellular junctions.</t>
  </si>
  <si>
    <t>These cells selectively express the CCL21 transcript in human lung.</t>
  </si>
  <si>
    <t>mesothelial cell</t>
  </si>
  <si>
    <t>http://purl.obolibrary.org/obo/CL_0000077</t>
  </si>
  <si>
    <t>A flattened epithelial cell of mesenchymal origin that lines the serous cavity.</t>
  </si>
  <si>
    <t>These cells selectively express the combination of CALB2 and PRG4 transcripts in human lung.</t>
  </si>
  <si>
    <t>alveolar type 2 fibroblast cell</t>
  </si>
  <si>
    <t>http://purl.obolibrary.org/obo/CL_4028006</t>
  </si>
  <si>
    <t>A pulmonary interstitial fibroblast that is part of the alveolus and localizes to vascular adventitia.</t>
  </si>
  <si>
    <t>alveolar type 1 fibroblast cell</t>
  </si>
  <si>
    <t>http://purl.obolibrary.org/obo/CL_4028004</t>
  </si>
  <si>
    <t>A pulmonary interstitial fibroblast that is part of the alveolus and contains lipid droplets.</t>
  </si>
  <si>
    <t>myofibroblast cell</t>
  </si>
  <si>
    <t>http://purl.obolibrary.org/obo/CL_0000186</t>
  </si>
  <si>
    <t>An animal cell that has characteristics of both a fibroblast cell and a smooth muscle cell.</t>
  </si>
  <si>
    <t>These cells selectively express the combination of ASPN, DKK3, and BCHE transcripts in human lung.</t>
  </si>
  <si>
    <t>lung pericyte</t>
  </si>
  <si>
    <t>http://purl.obolibrary.org/obo/CL_0009089</t>
  </si>
  <si>
    <t>A pericyte cell that is part of a lung.  (Pericyte - An elongated, contractile cell found wrapped about precapillary arterioles outside the basement membrane. Pericytes are present in capillaries where proper adventitia and muscle layer are missing (thus distingushing this cell type from adventitial cells). They are relatively undifferentiated and may become fibroblasts, macrophages, or smooth muscle cells.)</t>
  </si>
  <si>
    <t>These cells selectively express the combination of HIGD1B and KCNK3 transcripts in human lung.</t>
  </si>
  <si>
    <t>vein endothelial cell</t>
  </si>
  <si>
    <t>http://purl.obolibrary.org/obo/CL_0002543</t>
  </si>
  <si>
    <t>An endothelial cell that is part of the vein.</t>
  </si>
  <si>
    <t>pulmonary artery endothelial cell</t>
  </si>
  <si>
    <t>http://purl.obolibrary.org/obo/CL_1001568</t>
  </si>
  <si>
    <t>No definition in CL</t>
  </si>
  <si>
    <t>vein endothelial cell of respiratory system</t>
  </si>
  <si>
    <t>http://purl.obolibrary.org/obo/CL_4033008</t>
  </si>
  <si>
    <t>A(n) vein endothelial cell that is part of a(n) respiratory system.</t>
  </si>
  <si>
    <t>These cells selectively express the combination of TNIP3 and CXCL5 transcripts in human lung.</t>
  </si>
  <si>
    <t>alveolar capillary type 2 endothelial cell</t>
  </si>
  <si>
    <t>http://purl.obolibrary.org/obo/CL_4028003</t>
  </si>
  <si>
    <t>An alveolar capillary endothelial cell that is located proximally to alveolar capillary type 1 endothelial cells and in close apposition to alveolar type 1 epithelial cells (also known as type I pneumocytes).</t>
  </si>
  <si>
    <t>alveolar capillary type 1 endothelial cell</t>
  </si>
  <si>
    <t>http://purl.obolibrary.org/obo/CL_4028002</t>
  </si>
  <si>
    <t>An alveolar capillary endothelial cell that is located distally to alveolar capillary type 2 endothelial cells.</t>
  </si>
  <si>
    <t>brush cell of trachebronchial tree</t>
  </si>
  <si>
    <t>http://purl.obolibrary.org/obo/CL_0002075</t>
  </si>
  <si>
    <t>Infrequent type of columnar epithelial cell. This cell is characterized by the presence of a tuft of blunt, squat microvilli (approximately 120-140/cell) on the cell surface. The microvilli contain filaments that stretch into the underlying cytoplasm. They have a distinctive pear shape with a wide base and a narrow microvillous apex. Function not known.</t>
  </si>
  <si>
    <t>mucus secreting cell of bronchus submucosal gland</t>
  </si>
  <si>
    <t>http://purl.obolibrary.org/obo/CL_0002063</t>
  </si>
  <si>
    <t>A type II pneumocyte is a pneumocyte that modulates the fluid surrounding the alveolar epithelium by secreting and recycling surfactants. This cell type also contributes to tissue repair and can differentiate after injury into a type I pneumocyte. Thicker than squamous alveolar cells, have a rounded apical surface that projects above the level of surrounding epithelium. The free surface is covered by short microvilli.</t>
  </si>
  <si>
    <t>tracheobronchial serous cell</t>
  </si>
  <si>
    <t>http://purl.obolibrary.org/obo/CL_0019001</t>
  </si>
  <si>
    <t>Any serous secreting cell that is part of the tracheobronchial epithelium.</t>
  </si>
  <si>
    <t>type II pneumocyte</t>
  </si>
  <si>
    <t>airway submucosal gland duct basal cell/airway submucosal gland duct ciliated cell</t>
  </si>
  <si>
    <t>http://purl.obolibrary.org/obo/CL_4033024 http://purl.obolibrary.org/obo/CL_4033055</t>
  </si>
  <si>
    <t>A basal cell that is part of a duct of an airway submucosal gland. / A ciliated cell that is part of a ciliated duct of an airway submucosal gland.</t>
  </si>
  <si>
    <t>type I pneumocyte</t>
  </si>
  <si>
    <t>http://purl.obolibrary.org/obo/CL_0002062</t>
  </si>
  <si>
    <t>A type I pneumocyte is a flattened, branched pneumocyte that covers more than 98% of the alveolar surface. This large cell has thin (50-100 nm) cytoplasmic extensions to form the air-blood barrier essential for normal gas exchange.</t>
  </si>
  <si>
    <t>ionocyte</t>
  </si>
  <si>
    <t>http://purl.obolibrary.org/obo/CL_0005006</t>
  </si>
  <si>
    <t>Specialized epithelial cells involved in the maintenance of osmotic homeostasis. They are characterized by abundant mitochondria and ion transporters. In amniotes, they are present in the renal system. In freshwater fish, ionocytes in the skin and gills help maintain osmotic homeostasis by absorbing salt from the external environment.</t>
  </si>
  <si>
    <t>deuterosomal cell</t>
  </si>
  <si>
    <t>http://purl.obolibrary.org/obo/CL_4033044</t>
  </si>
  <si>
    <t>An epithelial cell part of respiratory tract epithelium that is a precursor of a multi-ciliated cell. This cell actively amplifies centrioles, a required step for multiciliogenesis.</t>
  </si>
  <si>
    <t>ciliated columnar cell of tracheobronchial tree</t>
  </si>
  <si>
    <t>http://purl.obolibrary.org/obo/CL_0002145</t>
  </si>
  <si>
    <t>A ciliated columnar cell found in the trachea and bronchus. Vary from low to tall columnar; possesses up to 300 cilia at its surface, interspersed with long irregular microvilli with the cilia varying in length from about 6um in the trachea to about 4um in the terminal bronchioles; driving force of the ciliary current in the bronchial tree.</t>
  </si>
  <si>
    <t>metallothionein-positive alveolar macrophage</t>
  </si>
  <si>
    <t>http://purl.obolibrary.org/obo/CL_4033042</t>
  </si>
  <si>
    <t>An alveolar macrophage that expresses metallothionein.</t>
  </si>
  <si>
    <t>These cells selectively express the combination of HMOX1 and HPGD transcripts in human lung.</t>
  </si>
  <si>
    <t>CCL3-positive alveolar macrophage</t>
  </si>
  <si>
    <t>http://purl.obolibrary.org/obo/CL_4033041</t>
  </si>
  <si>
    <t>An alveolar macrophage that expresses CCL3.</t>
  </si>
  <si>
    <t>skos:broadMatch</t>
  </si>
  <si>
    <t>elicited macrophage</t>
  </si>
  <si>
    <t>CL:0000861</t>
  </si>
  <si>
    <t>hematopoietic stem cell</t>
  </si>
  <si>
    <t>http://purl.obolibrary.org/obo/CL_0000037</t>
  </si>
  <si>
    <t>A stem cell from which all cells of the lymphoid and myeloid lineages develop, including blood cells and cells of the immune system. Hematopoietic stem cells lack cell markers of effector cells (lin-negative). Lin-negative is defined by lacking one or more of the following cell surface markers: CD2, CD3 epsilon, CD4, CD5 ,CD8 alpha chain, CD11b, CD14, CD19, CD20, CD56, ly6G, ter119.</t>
  </si>
  <si>
    <t>These cells selectively express the combination of CYTL1 and FAM30A transcripts in human lung.</t>
  </si>
  <si>
    <t>T cell</t>
  </si>
  <si>
    <t>CL:0000084</t>
  </si>
  <si>
    <t>CL:0002138</t>
  </si>
  <si>
    <t>fibroblast</t>
  </si>
  <si>
    <t>CL:0000057</t>
  </si>
  <si>
    <t>tracheobronchial smooth muscle cell</t>
  </si>
  <si>
    <t>http://purl.obolibrary.org/obo/CL_0019019</t>
  </si>
  <si>
    <t>respiratory hillock cell</t>
  </si>
  <si>
    <t>http://purl.obolibrary.org/obo/CL_4030023</t>
  </si>
  <si>
    <t>A hillock cell that is located in respiratory epithelium. In some mammalian species, this cell type has been noted to express KRT13 and KRT4 and is postulated to play a role in squamous barrier function and immunomodulation.</t>
  </si>
  <si>
    <t>SMG serous (nasal)</t>
  </si>
  <si>
    <t>serous secreting cell</t>
  </si>
  <si>
    <t>CL:0000313</t>
  </si>
  <si>
    <t>CL:0002063</t>
  </si>
  <si>
    <t>Club (nasal)</t>
  </si>
  <si>
    <t>club cell</t>
  </si>
  <si>
    <t>CL:0000158</t>
  </si>
  <si>
    <t>bronchial goblet cell</t>
  </si>
  <si>
    <t>http://purl.obolibrary.org/obo/CL_1000312</t>
  </si>
  <si>
    <t>A goblet cell that is part of the epithelium of bronchus.</t>
  </si>
  <si>
    <t>tracheobronchial goblet cell</t>
  </si>
  <si>
    <t>CL:0019003</t>
  </si>
  <si>
    <t>Multiciliated (nasal)</t>
  </si>
  <si>
    <t>conventional dendritic cell</t>
  </si>
  <si>
    <t>CL:0000990</t>
  </si>
  <si>
    <t>CD4-positive, alpha-beta T cell</t>
  </si>
  <si>
    <t>http://purl.obolibrary.org/obo/CL_0000624</t>
  </si>
  <si>
    <t>A mature alpha-beta T cell that expresses an alpha-beta T cell receptor and the CD4 coreceptor.</t>
  </si>
  <si>
    <t>These cells selectively express the combination of LTB and CD3D transcripts in human lung.</t>
  </si>
  <si>
    <t>CD8-positive, alpha-beta T cell</t>
  </si>
  <si>
    <t>http://purl.obolibrary.org/obo/CL_0000625</t>
  </si>
  <si>
    <t>A T cell expressing an alpha-beta T cell receptor and the CD8 coreceptor.</t>
  </si>
  <si>
    <t>These cells selectively express the combination of CCL5 and CD3D transcripts in human lung.</t>
  </si>
  <si>
    <t>classical monocyte</t>
  </si>
  <si>
    <t>http://purl.obolibrary.org/obo/CL_0000860</t>
  </si>
  <si>
    <t>A monocyte that responds rapidly to microbial stimuli by secreting cytokines and antimicrobial factors and which is characterized by high expression of CCR2 in both rodents and humans, negative for the lineage markers CD3, CD19, and CD20, and of larger size than non-classical monocytes.</t>
  </si>
  <si>
    <t>These cells selectively express the combination of S100A12 and FCN1 transcripts in human lung.</t>
  </si>
  <si>
    <t>lung macrophage</t>
  </si>
  <si>
    <t>CL:1001603</t>
  </si>
  <si>
    <t>respiratory suprabasal cell</t>
  </si>
  <si>
    <t>http://purl.obolibrary.org/obo/CL_4033048</t>
  </si>
  <si>
    <t>A respiratory epithelial cell with topographic nuclear position in between the basal and luminal cell of the airway epithelium. This non-basal, intermediate cell has limited proliferative capacity, ultrastructural features of basal cells and no defined features of the typically differentiated cellular phenotypes.  In humans, respiratory suprabasal cells have been noted to have enriched expression of the following: CK8, KRT13, IVL, and SERPINB3.</t>
  </si>
  <si>
    <t>respiratory basal cell</t>
  </si>
  <si>
    <t>http://purl.obolibrary.org/obo/CL_0002633</t>
  </si>
  <si>
    <t>A basal cell in the respiratory tract.  (Basal cell - Undifferentiated; mitotic stem cell for other epithelial cell types; rounded or elliptical with little cytoplasm and few organelles; contain cytokeratin intermediate filament.)</t>
  </si>
  <si>
    <t>epithelial cell of alveolus of lung</t>
  </si>
  <si>
    <t>CL:0010003</t>
  </si>
  <si>
    <t>epithelial cell of lower respiratory tract</t>
  </si>
  <si>
    <t>CL:0002632</t>
  </si>
  <si>
    <t>lung neuroendocrine cell</t>
  </si>
  <si>
    <t>http://purl.obolibrary.org/obo/CL_1000223</t>
  </si>
  <si>
    <t>A neuroendocrine cell that is part of respiratory epithelium of the lung and is involved in the sensory detection of environmental stimuli, including hypoxia, nicotine and air pressure. Ultrastructurally, this cell type is characterized by the presence of cytoplasmic dense core granules, which are considered the storage sites of amine and peptide hormones. Lung neuroendocrine cells are innervated and appear as solitary cells or as clustered masses, localized at airway bifurcation sites, called neuroepithelial bodies that can release serotonin in response to hypoxia and interact with sensory nerve terminals. Lung neuroendocrine cells also function as reserve stem cells that repair the surrounding epithelium after injury.</t>
  </si>
  <si>
    <t>Goblet (nasal)</t>
  </si>
  <si>
    <t>nasal mucosa goblet cell</t>
  </si>
  <si>
    <t>http://purl.obolibrary.org/obo/CL_0002480</t>
  </si>
  <si>
    <t>A goblet cell located in the nasal epithelium. (Respiratory goblet cell - A simple columnar epithelial cell that secretes mucin. Rough endoplasmic reticulum, mitochondria, the nucleus, and other organelles are concentrated in the basal portion. The apical plasma membrane projects microvilli to increase surface area for secretion.)</t>
  </si>
  <si>
    <t>bronchus fibroblast of lung</t>
  </si>
  <si>
    <t>http://purl.obolibrary.org/obo/CL_2000093</t>
  </si>
  <si>
    <t>Any fibroblast of lung that is part of a bronchus.</t>
  </si>
  <si>
    <t>These cells selectively express the combination of DPT and APOD transcripts in human lung.</t>
  </si>
  <si>
    <t>CL manual match (object)</t>
  </si>
  <si>
    <t>TwoWayMatch_FRMatch</t>
  </si>
  <si>
    <t>NA</t>
  </si>
  <si>
    <t>Y (CD4 T cells)</t>
  </si>
  <si>
    <t>Alveolar macrophages</t>
  </si>
  <si>
    <t>Lymphatic EC mature</t>
  </si>
  <si>
    <t>Lymphatic EC proliferating</t>
  </si>
  <si>
    <t>Lymphatic EC differentiating</t>
  </si>
  <si>
    <t>Y (Mast cells)</t>
  </si>
  <si>
    <t>Y (Alveolar macrophage)</t>
  </si>
  <si>
    <t>Y (Lymphatic endothelial cell)</t>
  </si>
  <si>
    <r>
      <t>['</t>
    </r>
    <r>
      <rPr>
        <sz val="12"/>
        <color rgb="FF00B050"/>
        <rFont val="Arial"/>
        <family val="2"/>
      </rPr>
      <t>KRT15</t>
    </r>
    <r>
      <rPr>
        <sz val="12"/>
        <color theme="1"/>
        <rFont val="Arial"/>
        <family val="2"/>
      </rPr>
      <t>', 'KRT17']</t>
    </r>
  </si>
  <si>
    <r>
      <t>['</t>
    </r>
    <r>
      <rPr>
        <sz val="12"/>
        <color rgb="FFC00000"/>
        <rFont val="Arial"/>
        <family val="2"/>
      </rPr>
      <t>DLK2</t>
    </r>
    <r>
      <rPr>
        <sz val="12"/>
        <color theme="1"/>
        <rFont val="Arial"/>
        <family val="2"/>
      </rPr>
      <t>', '</t>
    </r>
    <r>
      <rPr>
        <sz val="12"/>
        <color rgb="FF00B050"/>
        <rFont val="Arial"/>
        <family val="2"/>
      </rPr>
      <t>KRT15</t>
    </r>
    <r>
      <rPr>
        <sz val="12"/>
        <color theme="1"/>
        <rFont val="Arial"/>
        <family val="2"/>
      </rPr>
      <t>']</t>
    </r>
  </si>
  <si>
    <r>
      <t>['</t>
    </r>
    <r>
      <rPr>
        <sz val="12"/>
        <color rgb="FFC00000"/>
        <rFont val="Arial"/>
        <family val="2"/>
      </rPr>
      <t>DLK2</t>
    </r>
    <r>
      <rPr>
        <sz val="12"/>
        <color theme="1"/>
        <rFont val="Arial"/>
        <family val="2"/>
      </rPr>
      <t>', '</t>
    </r>
    <r>
      <rPr>
        <sz val="12"/>
        <color rgb="FF00B050"/>
        <rFont val="Arial"/>
        <family val="2"/>
      </rPr>
      <t>KRT15</t>
    </r>
    <r>
      <rPr>
        <sz val="12"/>
        <color theme="1"/>
        <rFont val="Arial"/>
        <family val="2"/>
      </rPr>
      <t>', 'ALDH3A2', 'LAMB3', 'KRT17', 'KRT5', 'ADH7', 'S100A2', 'BCAM', 'IGFBP2']</t>
    </r>
  </si>
  <si>
    <r>
      <t>['MMP10', 'TP63', 'DLK2', '</t>
    </r>
    <r>
      <rPr>
        <sz val="12"/>
        <color rgb="FF00B050"/>
        <rFont val="Arial"/>
        <family val="2"/>
      </rPr>
      <t>KRT15</t>
    </r>
    <r>
      <rPr>
        <sz val="12"/>
        <color theme="1"/>
        <rFont val="Arial"/>
        <family val="2"/>
      </rPr>
      <t>', 'ALDH3A1', 'FHL2', 'LAMB3', 'KRT5', 'S100A2', 'IL33']</t>
    </r>
  </si>
  <si>
    <t>Overlap_BinaryGenes</t>
  </si>
  <si>
    <t>[MARCO, ACP5, FABP4, FBP1, MSR1, C1QB]</t>
  </si>
  <si>
    <t>[FCGR3A, LILRB1, LILRB2, LILRA5, LST1, FCN1]</t>
  </si>
  <si>
    <t>[ANKRD29, RTKN2, SCEL, AGER]</t>
  </si>
  <si>
    <t>[SFRP2, PI16, MFAP5, FBLN2, SCARA5]</t>
  </si>
  <si>
    <t>[GPC3, SCN7A]</t>
  </si>
  <si>
    <t>[CLNK, IDO1, IRF8, WDFY4, CPVL, CLEC9A, C1orf54]</t>
  </si>
  <si>
    <t>[HLA-DQB1, CLEC10A, GPR183, RGS1, HLA-DQA1]</t>
  </si>
  <si>
    <t>[CD79A, MS4A1, BANK1]</t>
  </si>
  <si>
    <t>[LAMB3, S100A2, DLK2, KRT15, KRT5]</t>
  </si>
  <si>
    <t>[LTB, CD3E, TRAC, CD3D]</t>
  </si>
  <si>
    <t>[NKG7, CD3D, CD3E, TRAC, GZMA]</t>
  </si>
  <si>
    <t>[S100A8, VCAN, S100A12, EREG, FCN1, THBS1]</t>
  </si>
  <si>
    <t>[MSMB, TSPAN8, CYP2F1]</t>
  </si>
  <si>
    <t>[CDC20B, E2F7, PLK4, CDC20, POGLUT3, DEUP1]</t>
  </si>
  <si>
    <t>[HEY1, GJA5, DKK2, CXCL12, IGFBP3, EFNB2]</t>
  </si>
  <si>
    <t>[CD36, FCN3, CA4, SLC6A4, TMEM100, BTNL9]</t>
  </si>
  <si>
    <t>[PLA1A, PTPRB, SRPX, ACKR1, CCL23]</t>
  </si>
  <si>
    <t>[DUSP23, ACKR1, PLVAP, SNCG, VWF, EPAS1, ADGRL4]</t>
  </si>
  <si>
    <t>[STAB1, MRC1, MS4A6A, F13A1]</t>
  </si>
  <si>
    <t>[AKAP12, PDPN, MMRN1, CCL21, PPFIBP1]</t>
  </si>
  <si>
    <t>[CCL22, GPR157, FSCN1, CCR7]</t>
  </si>
  <si>
    <t>[C1orf194, SNTN, RSPH1, DYNLRB2, CAPSL, C9orf24]</t>
  </si>
  <si>
    <t>[ACTA2, LTBP1, ASPN, TAGLN, LTBP2, CFH, ITGBL1]</t>
  </si>
  <si>
    <t>[GRP, PHGR1, SCG5, CHGA, SCG3, SCGN, CALCA]</t>
  </si>
  <si>
    <t>[IGHA1, MZB1, JCHAIN, DERL3, POU2AF1]</t>
  </si>
  <si>
    <t>[SCT, MZB1, IRF8, IRF7, LILRA4, JCHAIN, PLD4]</t>
  </si>
  <si>
    <t>[MMP7, MIA, TCN1, RARRES1, CCL28]</t>
  </si>
  <si>
    <t>[GLYATL2, DEFB1, TFF1, NKX3-1, BPIFB2, MUC5B]</t>
  </si>
  <si>
    <t>[PRB3, PIP, S100A1, C6orf58, LTF]</t>
  </si>
  <si>
    <t>[CNN1, ACTA2, TAGLN, MYH11, PLAC9, LMOD1, ACTG2]</t>
  </si>
  <si>
    <t>[CNN1, ACTG2, DES, BCHE]</t>
  </si>
  <si>
    <t>[SERPINB4, CLCA2, SERPINB13, SERPINB5]</t>
  </si>
  <si>
    <t>[HES6, RASSF6, CRYM, KIT, MEX3A, NREP, POU2F3]</t>
  </si>
  <si>
    <t>Overlap_BinaryGenesCount</t>
  </si>
  <si>
    <t>['RGS13', 'TPSB2', 'CPA3', 'SLC18A2', 'HDC', 'RHEX', 'MS4A2', 'HPGDS', 'TPSAB1']</t>
  </si>
  <si>
    <t>['SFTPA1', 'SFTPA2', 'NAPSA', 'LAMP3', 'LRRK2', 'SFTPD', 'PGC', 'PEBP4', 'ABCA3']</t>
  </si>
  <si>
    <t>['STAP1', 'CLCNKB', 'LINC01187', 'CLCNKA', 'ATP6V1G3', 'BSND', 'ASCL3']</t>
  </si>
  <si>
    <t>['EMCN', 'CA4', 'IL1RL1', 'SOSTDC1', 'ICAM2', 'B3GALNT1', 'S100A3', 'EDNRB']</t>
  </si>
  <si>
    <t>['FAM162B', 'COL4A1', 'LAMC3', 'PTN', 'KCNK3', 'RGN', 'NDUFA4L2', 'HIGD1B']</t>
  </si>
  <si>
    <t>['PLA2G2A', 'TFPI2', 'MSLN', 'UPK3B', 'PRG4', 'ITLN1', 'HP', 'CALB2']</t>
  </si>
  <si>
    <t>['SPON2', 'KLRF1', 'FGFBP2', 'CD7', 'KLRB1', 'GNLY', 'PRF1', 'KLRD1']</t>
  </si>
  <si>
    <t>RecommendedMatching</t>
  </si>
  <si>
    <t>HiConfMatch_Azimuth</t>
  </si>
  <si>
    <t>HiConfMatch_CellTypist</t>
  </si>
  <si>
    <t>HiConfMatch_scArches</t>
  </si>
  <si>
    <t>HiConfMatch_FRMatch</t>
  </si>
  <si>
    <t>CellRef order</t>
  </si>
  <si>
    <r>
      <t>['SCGB3A2', 'SFTPA2', 'SFTPA1', 'SFTA2', '</t>
    </r>
    <r>
      <rPr>
        <sz val="12"/>
        <color rgb="FF00B050"/>
        <rFont val="Arial"/>
        <family val="2"/>
      </rPr>
      <t>SFTPB</t>
    </r>
    <r>
      <rPr>
        <sz val="12"/>
        <rFont val="Arial"/>
        <family val="2"/>
      </rPr>
      <t>', '</t>
    </r>
    <r>
      <rPr>
        <sz val="12"/>
        <color rgb="FFC00000"/>
        <rFont val="Arial"/>
        <family val="2"/>
      </rPr>
      <t>SCGB1A1</t>
    </r>
    <r>
      <rPr>
        <sz val="12"/>
        <rFont val="Arial"/>
        <family val="2"/>
      </rPr>
      <t>', 'KLK11', 'RNASE1', 'SFTPC', 'PIGR']</t>
    </r>
  </si>
  <si>
    <r>
      <t>['KLK10', 'TMEM45A', '</t>
    </r>
    <r>
      <rPr>
        <sz val="12"/>
        <color rgb="FFC00000"/>
        <rFont val="Arial"/>
        <family val="2"/>
      </rPr>
      <t>SCGB3A2</t>
    </r>
    <r>
      <rPr>
        <sz val="12"/>
        <rFont val="Arial"/>
        <family val="2"/>
      </rPr>
      <t>', 'SFTA1P', 'SCGB1A1', '</t>
    </r>
    <r>
      <rPr>
        <sz val="12"/>
        <color rgb="FF00B050"/>
        <rFont val="Arial"/>
        <family val="2"/>
      </rPr>
      <t>SFTPB</t>
    </r>
    <r>
      <rPr>
        <sz val="12"/>
        <rFont val="Arial"/>
        <family val="2"/>
      </rPr>
      <t>', 'APOD', 'KLK11', 'SCGB3A1', 'FOLR1']</t>
    </r>
  </si>
  <si>
    <r>
      <t>['</t>
    </r>
    <r>
      <rPr>
        <sz val="12"/>
        <color rgb="FFC00000"/>
        <rFont val="Arial"/>
        <family val="2"/>
      </rPr>
      <t>SCGB3A2</t>
    </r>
    <r>
      <rPr>
        <sz val="12"/>
        <rFont val="Arial"/>
        <family val="2"/>
      </rPr>
      <t>', '</t>
    </r>
    <r>
      <rPr>
        <sz val="12"/>
        <color rgb="FF00B050"/>
        <rFont val="Arial"/>
        <family val="2"/>
      </rPr>
      <t>SFTPB</t>
    </r>
    <r>
      <rPr>
        <sz val="12"/>
        <rFont val="Arial"/>
        <family val="2"/>
      </rPr>
      <t>']</t>
    </r>
  </si>
  <si>
    <r>
      <t>['</t>
    </r>
    <r>
      <rPr>
        <sz val="12"/>
        <color rgb="FFC00000"/>
        <rFont val="Arial"/>
        <family val="2"/>
      </rPr>
      <t>SCGB1A1</t>
    </r>
    <r>
      <rPr>
        <sz val="12"/>
        <rFont val="Arial"/>
        <family val="2"/>
      </rPr>
      <t>', '</t>
    </r>
    <r>
      <rPr>
        <sz val="12"/>
        <color rgb="FF00B050"/>
        <rFont val="Arial"/>
        <family val="2"/>
      </rPr>
      <t>SFTPB</t>
    </r>
    <r>
      <rPr>
        <sz val="12"/>
        <rFont val="Arial"/>
        <family val="2"/>
      </rPr>
      <t>']</t>
    </r>
  </si>
  <si>
    <t>[SCGB3A2, SCGB1A1, SFTPB, KLK11]</t>
  </si>
  <si>
    <t>Y (Respiratory airway secretory cell)</t>
  </si>
  <si>
    <t>['HSD17B6', 'XIST', 'SCGB3A2']</t>
  </si>
  <si>
    <t>['HSD17B6', 'XIST', 'SCGB3A2', 'SFTPA2', 'SFTPA1', 'NAPSA', 'HSD17B11', 'AGR3', 'GPRC5A', 'SFTPC']</t>
  </si>
  <si>
    <t>['TMEM45A', 'SCGB1A1']</t>
  </si>
  <si>
    <t>['TMEM45A', 'MMP7', 'CYP2F1', 'SFTPB', 'SCGB3A2', 'SCGB1A1', 'CP', 'SAA1', 'LTF', 'TSPAN8']</t>
  </si>
  <si>
    <t>Y (pre-TB secretory)</t>
  </si>
  <si>
    <t>Ciliated</t>
  </si>
  <si>
    <t>HLCA_PPV</t>
  </si>
  <si>
    <t>HLCA_TN</t>
  </si>
  <si>
    <t>HLCA_FP</t>
  </si>
  <si>
    <t>HLCA_FN</t>
  </si>
  <si>
    <t>HLCA_TP</t>
  </si>
  <si>
    <t>CellRef_PPV</t>
  </si>
  <si>
    <t>CellRef_TN</t>
  </si>
  <si>
    <t>CellRef_FP</t>
  </si>
  <si>
    <t>CellRef_FN</t>
  </si>
  <si>
    <t>CellRef_TP</t>
  </si>
  <si>
    <t>no marker</t>
  </si>
  <si>
    <t>cellref_idx</t>
  </si>
  <si>
    <t>ceLL_type_parental</t>
  </si>
  <si>
    <t>HLCA_cellset</t>
  </si>
  <si>
    <t>cellref_cellset</t>
  </si>
  <si>
    <t>HLCA_idx</t>
  </si>
  <si>
    <t>HLCA_clusterName (subject)</t>
  </si>
  <si>
    <t>Cell_type_HLCA</t>
  </si>
  <si>
    <t>Cell_type_cellref</t>
  </si>
  <si>
    <t>predicate_HLCA</t>
  </si>
  <si>
    <t>predicate_cellref</t>
  </si>
  <si>
    <t>CL_cell_type</t>
  </si>
  <si>
    <t>CL_PURL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</si>
</sst>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ArialMT"/>
      <family val="2"/>
    </font>
    <font>
      <sz val="12"/>
      <color theme="1"/>
      <name val="Arial"/>
      <family val="2"/>
    </font>
    <font>
      <sz val="12"/>
      <color rgb="FFC00000"/>
      <name val="Arial"/>
      <family val="2"/>
    </font>
    <font>
      <sz val="12"/>
      <color rgb="FF00B050"/>
      <name val="Arial"/>
      <family val="2"/>
    </font>
    <font>
      <sz val="12"/>
      <color rgb="FFFF0000"/>
      <name val="Arial"/>
      <family val="2"/>
    </font>
    <font>
      <i/>
      <sz val="12"/>
      <color theme="1"/>
      <name val="Arial"/>
      <family val="2"/>
    </font>
    <font>
      <u/>
      <sz val="12"/>
      <color theme="10"/>
      <name val="Aptos Narrow"/>
      <family val="2"/>
      <scheme val="minor"/>
    </font>
    <font>
      <u/>
      <sz val="12"/>
      <color theme="10"/>
      <name val="Arial"/>
      <family val="2"/>
    </font>
    <font>
      <sz val="12"/>
      <color rgb="FF000000"/>
      <name val="Arial"/>
      <family val="2"/>
    </font>
    <font>
      <i/>
      <sz val="12"/>
      <color rgb="FF292929"/>
      <name val="Arial"/>
      <family val="2"/>
    </font>
    <font>
      <sz val="12"/>
      <color rgb="FF292929"/>
      <name val="Arial"/>
      <family val="2"/>
    </font>
    <font>
      <sz val="12"/>
      <color theme="1"/>
      <name val="Helvetica"/>
      <family val="2"/>
    </font>
    <font>
      <sz val="12"/>
      <name val="Arial"/>
      <family val="2"/>
    </font>
    <font>
      <sz val="12"/>
      <color rgb="FF7030A0"/>
      <name val="Arial"/>
      <family val="2"/>
    </font>
    <font>
      <i/>
      <sz val="12"/>
      <color theme="1"/>
      <name val="ArialMT"/>
      <family val="2"/>
    </font>
  </fonts>
  <fills count="1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rgb="FF000000"/>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70">
    <xf numFmtId="0" fontId="0" fillId="0" borderId="0" xfId="0"/>
    <xf numFmtId="0" fontId="1" fillId="0" borderId="0" xfId="0" applyFont="1"/>
    <xf numFmtId="2" fontId="1" fillId="0" borderId="0" xfId="0" applyNumberFormat="1" applyFont="1"/>
    <xf numFmtId="0" fontId="1" fillId="0" borderId="0" xfId="0" applyFont="1" applyAlignment="1">
      <alignment horizontal="left"/>
    </xf>
    <xf numFmtId="0" fontId="1" fillId="0" borderId="0" xfId="0" applyFont="1" applyAlignment="1">
      <alignment horizontal="right"/>
    </xf>
    <xf numFmtId="2" fontId="1" fillId="0" borderId="0" xfId="0" applyNumberFormat="1" applyFont="1" applyAlignment="1">
      <alignment horizontal="right"/>
    </xf>
    <xf numFmtId="2" fontId="1" fillId="3" borderId="0" xfId="0" applyNumberFormat="1" applyFont="1" applyFill="1" applyAlignment="1">
      <alignment horizontal="right"/>
    </xf>
    <xf numFmtId="2" fontId="1" fillId="3" borderId="0" xfId="0" applyNumberFormat="1" applyFont="1" applyFill="1"/>
    <xf numFmtId="1" fontId="1" fillId="0" borderId="0" xfId="0" applyNumberFormat="1" applyFont="1"/>
    <xf numFmtId="0" fontId="8" fillId="0" borderId="0" xfId="0" applyFont="1"/>
    <xf numFmtId="0" fontId="1" fillId="0" borderId="0" xfId="0" applyFont="1" applyAlignment="1">
      <alignment horizontal="center"/>
    </xf>
    <xf numFmtId="0" fontId="1" fillId="0" borderId="0" xfId="1" applyFont="1" applyFill="1" applyAlignment="1">
      <alignment horizontal="left"/>
    </xf>
    <xf numFmtId="0" fontId="11" fillId="0" borderId="0" xfId="0" applyFont="1"/>
    <xf numFmtId="0" fontId="1" fillId="7" borderId="0" xfId="0" applyFont="1" applyFill="1"/>
    <xf numFmtId="0" fontId="1" fillId="7" borderId="0" xfId="0" applyFont="1" applyFill="1" applyAlignment="1">
      <alignment horizontal="center"/>
    </xf>
    <xf numFmtId="0" fontId="1" fillId="7" borderId="1" xfId="0" applyFont="1" applyFill="1" applyBorder="1"/>
    <xf numFmtId="0" fontId="1" fillId="2" borderId="0" xfId="0" applyFont="1" applyFill="1"/>
    <xf numFmtId="0" fontId="1" fillId="2" borderId="0" xfId="0" applyFont="1" applyFill="1" applyAlignment="1">
      <alignment horizontal="center"/>
    </xf>
    <xf numFmtId="0" fontId="8" fillId="5" borderId="0" xfId="0" applyFont="1" applyFill="1" applyAlignment="1">
      <alignment horizontal="center"/>
    </xf>
    <xf numFmtId="0" fontId="1" fillId="4" borderId="0" xfId="0" applyFont="1" applyFill="1"/>
    <xf numFmtId="0" fontId="1" fillId="4" borderId="0" xfId="0" applyFont="1" applyFill="1" applyAlignment="1">
      <alignment horizontal="center"/>
    </xf>
    <xf numFmtId="0" fontId="1" fillId="6" borderId="0" xfId="0" applyFont="1" applyFill="1"/>
    <xf numFmtId="0" fontId="1" fillId="6" borderId="0" xfId="0" applyFont="1" applyFill="1" applyAlignment="1">
      <alignment horizontal="center"/>
    </xf>
    <xf numFmtId="0" fontId="1" fillId="2" borderId="0" xfId="0" applyFont="1" applyFill="1" applyAlignment="1">
      <alignment horizontal="left"/>
    </xf>
    <xf numFmtId="0" fontId="1" fillId="4" borderId="0" xfId="0" applyFont="1" applyFill="1" applyAlignment="1">
      <alignment horizontal="left"/>
    </xf>
    <xf numFmtId="0" fontId="1" fillId="6" borderId="0" xfId="0" applyFont="1" applyFill="1" applyAlignment="1">
      <alignment horizontal="left"/>
    </xf>
    <xf numFmtId="0" fontId="1" fillId="8" borderId="0" xfId="0" applyFont="1" applyFill="1" applyAlignment="1">
      <alignment horizontal="center"/>
    </xf>
    <xf numFmtId="0" fontId="5" fillId="0" borderId="2" xfId="0" applyFont="1" applyBorder="1"/>
    <xf numFmtId="0" fontId="5" fillId="0" borderId="2" xfId="0" applyFont="1" applyBorder="1" applyAlignment="1">
      <alignment horizontal="center"/>
    </xf>
    <xf numFmtId="2" fontId="5" fillId="0" borderId="2" xfId="0" applyNumberFormat="1" applyFont="1" applyBorder="1"/>
    <xf numFmtId="0" fontId="12" fillId="0" borderId="0" xfId="0" applyFont="1"/>
    <xf numFmtId="0" fontId="1" fillId="4" borderId="3" xfId="0" applyFont="1" applyFill="1" applyBorder="1" applyAlignment="1">
      <alignment horizontal="left"/>
    </xf>
    <xf numFmtId="0" fontId="1" fillId="4" borderId="4" xfId="0" applyFont="1" applyFill="1" applyBorder="1"/>
    <xf numFmtId="0" fontId="1" fillId="9" borderId="0" xfId="0" applyFont="1" applyFill="1"/>
    <xf numFmtId="2" fontId="1" fillId="0" borderId="0" xfId="0" applyNumberFormat="1" applyFont="1" applyAlignment="1">
      <alignment horizontal="left"/>
    </xf>
    <xf numFmtId="0" fontId="1" fillId="6" borderId="1" xfId="0" applyFont="1" applyFill="1" applyBorder="1"/>
    <xf numFmtId="2" fontId="0" fillId="0" borderId="0" xfId="0" applyNumberFormat="1"/>
    <xf numFmtId="2" fontId="14" fillId="0" borderId="0" xfId="0" applyNumberFormat="1" applyFont="1"/>
    <xf numFmtId="0" fontId="14" fillId="0" borderId="0" xfId="0" applyFont="1"/>
    <xf numFmtId="0" fontId="1" fillId="3" borderId="0" xfId="0" applyFont="1" applyFill="1" applyAlignment="1">
      <alignment horizontal="left"/>
    </xf>
    <xf numFmtId="0" fontId="5" fillId="3" borderId="2" xfId="0" applyFont="1" applyFill="1" applyBorder="1" applyAlignment="1">
      <alignment horizontal="center"/>
    </xf>
    <xf numFmtId="0" fontId="5" fillId="3" borderId="2" xfId="0" applyFont="1" applyFill="1" applyBorder="1"/>
    <xf numFmtId="0" fontId="1" fillId="3" borderId="0" xfId="0" applyFont="1" applyFill="1"/>
    <xf numFmtId="0" fontId="12" fillId="3" borderId="0" xfId="0" applyFont="1" applyFill="1" applyAlignment="1">
      <alignment horizontal="left"/>
    </xf>
    <xf numFmtId="2" fontId="3" fillId="3" borderId="0" xfId="0" applyNumberFormat="1" applyFont="1" applyFill="1"/>
    <xf numFmtId="0" fontId="2" fillId="3" borderId="0" xfId="0" applyFont="1" applyFill="1"/>
    <xf numFmtId="0" fontId="13" fillId="3" borderId="0" xfId="0" applyFont="1" applyFill="1"/>
    <xf numFmtId="0" fontId="7" fillId="3" borderId="0" xfId="1" applyFont="1" applyFill="1" applyAlignment="1">
      <alignment horizontal="left"/>
    </xf>
    <xf numFmtId="0" fontId="7" fillId="3" borderId="0" xfId="1" applyFont="1" applyFill="1"/>
    <xf numFmtId="0" fontId="8" fillId="3" borderId="0" xfId="0" applyFont="1" applyFill="1"/>
    <xf numFmtId="0" fontId="10" fillId="3" borderId="0" xfId="0" applyFont="1" applyFill="1"/>
    <xf numFmtId="0" fontId="9" fillId="3" borderId="0" xfId="0" applyFont="1" applyFill="1"/>
    <xf numFmtId="0" fontId="5" fillId="3" borderId="0" xfId="1" applyFont="1" applyFill="1" applyAlignment="1">
      <alignment horizontal="left"/>
    </xf>
    <xf numFmtId="0" fontId="5" fillId="0" borderId="2" xfId="0" applyFont="1" applyBorder="1" applyAlignment="1">
      <alignment horizontal="left" vertical="top"/>
    </xf>
    <xf numFmtId="2" fontId="1" fillId="3" borderId="0" xfId="0" applyNumberFormat="1" applyFont="1" applyFill="1" applyAlignment="1">
      <alignment horizontal="left"/>
    </xf>
    <xf numFmtId="0" fontId="1" fillId="3" borderId="0" xfId="0" applyFont="1" applyFill="1" applyAlignment="1">
      <alignment horizontal="center"/>
    </xf>
    <xf numFmtId="0" fontId="1" fillId="3" borderId="0" xfId="0" applyFont="1" applyFill="1" applyAlignment="1">
      <alignment horizontal="right"/>
    </xf>
    <xf numFmtId="2" fontId="0" fillId="3" borderId="0" xfId="0" applyNumberFormat="1" applyFill="1"/>
    <xf numFmtId="0" fontId="0" fillId="3" borderId="0" xfId="0" applyFill="1"/>
    <xf numFmtId="0" fontId="1" fillId="3" borderId="0" xfId="1" applyFont="1" applyFill="1" applyAlignment="1">
      <alignment horizontal="left"/>
    </xf>
    <xf numFmtId="0" fontId="4" fillId="3" borderId="0" xfId="0" applyFont="1" applyFill="1" applyAlignment="1">
      <alignment horizontal="left"/>
    </xf>
    <xf numFmtId="2" fontId="5" fillId="3" borderId="2" xfId="0" applyNumberFormat="1" applyFont="1" applyFill="1" applyBorder="1"/>
    <xf numFmtId="0" fontId="12" fillId="3" borderId="0" xfId="0" applyFont="1" applyFill="1"/>
    <xf numFmtId="0" fontId="5" fillId="3" borderId="0" xfId="0" applyFont="1" applyFill="1" applyBorder="1"/>
    <xf numFmtId="0" fontId="5" fillId="0" borderId="0" xfId="0" applyFont="1" applyBorder="1"/>
    <xf numFmtId="0" fontId="5" fillId="0" borderId="0" xfId="0" applyFont="1" applyBorder="1" applyAlignment="1">
      <alignment horizontal="center"/>
    </xf>
    <xf numFmtId="2" fontId="5" fillId="0" borderId="0" xfId="0" applyNumberFormat="1" applyFont="1" applyBorder="1"/>
    <xf numFmtId="2" fontId="5" fillId="3" borderId="0" xfId="0" applyNumberFormat="1" applyFont="1" applyFill="1" applyBorder="1"/>
    <xf numFmtId="0" fontId="5" fillId="0" borderId="0" xfId="0" applyFont="1" applyBorder="1" applyAlignment="1">
      <alignment horizontal="left" vertical="top"/>
    </xf>
    <xf numFmtId="0" fontId="5" fillId="3" borderId="0" xfId="0" applyFont="1" applyFill="1" applyBorder="1" applyAlignment="1">
      <alignment horizontal="center"/>
    </xf>
  </cellXfs>
  <cellStyles count="2">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39CD8"/>
      <color rgb="FF0B5B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purl.obolibrary.org/obo/CL_0000786" TargetMode="External"/><Relationship Id="rId18" Type="http://schemas.openxmlformats.org/officeDocument/2006/relationships/hyperlink" Target="http://purl.obolibrary.org/obo/CL_4028002" TargetMode="External"/><Relationship Id="rId26" Type="http://schemas.openxmlformats.org/officeDocument/2006/relationships/hyperlink" Target="http://purl.obolibrary.org/obo/CL_0002145" TargetMode="External"/><Relationship Id="rId39" Type="http://schemas.openxmlformats.org/officeDocument/2006/relationships/hyperlink" Target="http://purl.obolibrary.org/obo/CL_0002145" TargetMode="External"/><Relationship Id="rId21" Type="http://schemas.openxmlformats.org/officeDocument/2006/relationships/hyperlink" Target="http://purl.obolibrary.org/obo/CL_2000093" TargetMode="External"/><Relationship Id="rId34" Type="http://schemas.openxmlformats.org/officeDocument/2006/relationships/hyperlink" Target="http://purl.obolibrary.org/obo/CL_0002063" TargetMode="External"/><Relationship Id="rId42" Type="http://schemas.openxmlformats.org/officeDocument/2006/relationships/hyperlink" Target="http://purl.obolibrary.org/obo/CL_4033024" TargetMode="External"/><Relationship Id="rId7" Type="http://schemas.openxmlformats.org/officeDocument/2006/relationships/hyperlink" Target="http://purl.obolibrary.org/obo/CL_0000875" TargetMode="External"/><Relationship Id="rId2" Type="http://schemas.openxmlformats.org/officeDocument/2006/relationships/hyperlink" Target="http://purl.obolibrary.org/obo/CL_4033042" TargetMode="External"/><Relationship Id="rId16" Type="http://schemas.openxmlformats.org/officeDocument/2006/relationships/hyperlink" Target="http://purl.obolibrary.org/obo/CL_4033008" TargetMode="External"/><Relationship Id="rId20" Type="http://schemas.openxmlformats.org/officeDocument/2006/relationships/hyperlink" Target="http://purl.obolibrary.org/obo/CL_0002063" TargetMode="External"/><Relationship Id="rId29" Type="http://schemas.openxmlformats.org/officeDocument/2006/relationships/hyperlink" Target="http://purl.obolibrary.org/obo/CL_0002480" TargetMode="External"/><Relationship Id="rId41" Type="http://schemas.openxmlformats.org/officeDocument/2006/relationships/hyperlink" Target="http://purl.obolibrary.org/obo/CL_0002399" TargetMode="External"/><Relationship Id="rId1" Type="http://schemas.openxmlformats.org/officeDocument/2006/relationships/hyperlink" Target="http://purl.obolibrary.org/obo/CL_4033041" TargetMode="External"/><Relationship Id="rId6" Type="http://schemas.openxmlformats.org/officeDocument/2006/relationships/hyperlink" Target="http://purl.obolibrary.org/obo/CL_0000860" TargetMode="External"/><Relationship Id="rId11" Type="http://schemas.openxmlformats.org/officeDocument/2006/relationships/hyperlink" Target="http://purl.obolibrary.org/obo/CL_0000624" TargetMode="External"/><Relationship Id="rId24" Type="http://schemas.openxmlformats.org/officeDocument/2006/relationships/hyperlink" Target="http://purl.obolibrary.org/obo/CL_1000223" TargetMode="External"/><Relationship Id="rId32" Type="http://schemas.openxmlformats.org/officeDocument/2006/relationships/hyperlink" Target="http://purl.obolibrary.org/obo/CL_4030023" TargetMode="External"/><Relationship Id="rId37" Type="http://schemas.openxmlformats.org/officeDocument/2006/relationships/hyperlink" Target="http://purl.obolibrary.org/obo/CL_0019019" TargetMode="External"/><Relationship Id="rId40" Type="http://schemas.openxmlformats.org/officeDocument/2006/relationships/hyperlink" Target="http://purl.obolibrary.org/obo/CL_4028006" TargetMode="External"/><Relationship Id="rId5" Type="http://schemas.openxmlformats.org/officeDocument/2006/relationships/hyperlink" Target="http://purl.obolibrary.org/obo/CL_4033045" TargetMode="External"/><Relationship Id="rId15" Type="http://schemas.openxmlformats.org/officeDocument/2006/relationships/hyperlink" Target="http://purl.obolibrary.org/obo/CL_1001568" TargetMode="External"/><Relationship Id="rId23" Type="http://schemas.openxmlformats.org/officeDocument/2006/relationships/hyperlink" Target="http://purl.obolibrary.org/obo/CL_0005006" TargetMode="External"/><Relationship Id="rId28" Type="http://schemas.openxmlformats.org/officeDocument/2006/relationships/hyperlink" Target="http://purl.obolibrary.org/obo/CL_1000312" TargetMode="External"/><Relationship Id="rId36" Type="http://schemas.openxmlformats.org/officeDocument/2006/relationships/hyperlink" Target="http://purl.obolibrary.org/obo/CL_0019019" TargetMode="External"/><Relationship Id="rId10" Type="http://schemas.openxmlformats.org/officeDocument/2006/relationships/hyperlink" Target="http://purl.obolibrary.org/obo/CL_0000623" TargetMode="External"/><Relationship Id="rId19" Type="http://schemas.openxmlformats.org/officeDocument/2006/relationships/hyperlink" Target="http://purl.obolibrary.org/obo/CL_0002062" TargetMode="External"/><Relationship Id="rId31" Type="http://schemas.openxmlformats.org/officeDocument/2006/relationships/hyperlink" Target="http://purl.obolibrary.org/obo/CL_4033048" TargetMode="External"/><Relationship Id="rId4" Type="http://schemas.openxmlformats.org/officeDocument/2006/relationships/hyperlink" Target="http://purl.obolibrary.org/obo/CL_0000784" TargetMode="External"/><Relationship Id="rId9" Type="http://schemas.openxmlformats.org/officeDocument/2006/relationships/hyperlink" Target="http://purl.obolibrary.org/obo/CL_0000097" TargetMode="External"/><Relationship Id="rId14" Type="http://schemas.openxmlformats.org/officeDocument/2006/relationships/hyperlink" Target="http://purl.obolibrary.org/obo/CL_0000236" TargetMode="External"/><Relationship Id="rId22" Type="http://schemas.openxmlformats.org/officeDocument/2006/relationships/hyperlink" Target="http://purl.obolibrary.org/obo/CL_0000186" TargetMode="External"/><Relationship Id="rId27" Type="http://schemas.openxmlformats.org/officeDocument/2006/relationships/hyperlink" Target="http://purl.obolibrary.org/obo/CL_0002138" TargetMode="External"/><Relationship Id="rId30" Type="http://schemas.openxmlformats.org/officeDocument/2006/relationships/hyperlink" Target="http://purl.obolibrary.org/obo/CL_0000077" TargetMode="External"/><Relationship Id="rId35" Type="http://schemas.openxmlformats.org/officeDocument/2006/relationships/hyperlink" Target="http://purl.obolibrary.org/obo/CL_0000583" TargetMode="External"/><Relationship Id="rId8" Type="http://schemas.openxmlformats.org/officeDocument/2006/relationships/hyperlink" Target="http://purl.obolibrary.org/obo/CL_0000037" TargetMode="External"/><Relationship Id="rId3" Type="http://schemas.openxmlformats.org/officeDocument/2006/relationships/hyperlink" Target="http://purl.obolibrary.org/obo/CL_0000583" TargetMode="External"/><Relationship Id="rId12" Type="http://schemas.openxmlformats.org/officeDocument/2006/relationships/hyperlink" Target="http://purl.obolibrary.org/obo/CL_0000625" TargetMode="External"/><Relationship Id="rId17" Type="http://schemas.openxmlformats.org/officeDocument/2006/relationships/hyperlink" Target="http://purl.obolibrary.org/obo/CL_4028003" TargetMode="External"/><Relationship Id="rId25" Type="http://schemas.openxmlformats.org/officeDocument/2006/relationships/hyperlink" Target="http://purl.obolibrary.org/obo/CL_4033044" TargetMode="External"/><Relationship Id="rId33" Type="http://schemas.openxmlformats.org/officeDocument/2006/relationships/hyperlink" Target="http://purl.obolibrary.org/obo/CL_0002633" TargetMode="External"/><Relationship Id="rId38" Type="http://schemas.openxmlformats.org/officeDocument/2006/relationships/hyperlink" Target="http://purl.obolibrary.org/obo/CL_001901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C881D-8199-D44D-B181-6BA79AC58FDB}">
  <dimension ref="A1:AW81"/>
  <sheetViews>
    <sheetView tabSelected="1" zoomScale="103" zoomScaleNormal="100" workbookViewId="0">
      <selection activeCell="AS1" sqref="AS1:AS2"/>
    </sheetView>
  </sheetViews>
  <sheetFormatPr baseColWidth="10" defaultRowHeight="16"/>
  <cols>
    <col min="1" max="1" width="31.6640625" style="42" customWidth="1"/>
    <col min="2" max="2" width="15.5" style="42" customWidth="1"/>
    <col min="3" max="3" width="13.33203125" style="1" customWidth="1"/>
    <col min="4" max="4" width="20.1640625" style="1" customWidth="1"/>
    <col min="5" max="5" width="31" style="1" customWidth="1"/>
    <col min="6" max="7" width="34.83203125" style="1" bestFit="1" customWidth="1"/>
    <col min="8" max="8" width="36" style="10" customWidth="1"/>
    <col min="9" max="9" width="22.5" style="10" customWidth="1"/>
    <col min="10" max="10" width="24.1640625" style="10" customWidth="1"/>
    <col min="11" max="11" width="23.5" style="10" customWidth="1"/>
    <col min="12" max="12" width="23.33203125" style="10" customWidth="1"/>
    <col min="13" max="13" width="24.5" style="1" customWidth="1"/>
    <col min="14" max="14" width="18.5" style="1" customWidth="1"/>
    <col min="15" max="15" width="19.83203125" style="1" customWidth="1"/>
    <col min="16" max="16" width="19.83203125" style="2" customWidth="1"/>
    <col min="17" max="17" width="18" style="42" customWidth="1"/>
    <col min="18" max="22" width="13" style="1" customWidth="1"/>
    <col min="23" max="23" width="13.33203125" style="2" customWidth="1"/>
    <col min="24" max="24" width="15.6640625" style="7" customWidth="1"/>
    <col min="25" max="28" width="15.6640625" style="2" customWidth="1"/>
    <col min="29" max="29" width="10.83203125" customWidth="1"/>
    <col min="30" max="30" width="21.33203125" style="1" customWidth="1"/>
    <col min="31" max="31" width="35.83203125" style="42" customWidth="1"/>
    <col min="32" max="32" width="29.5" style="42" customWidth="1"/>
    <col min="33" max="33" width="113.5" style="42" customWidth="1"/>
    <col min="34" max="34" width="99.33203125" style="1" customWidth="1"/>
    <col min="35" max="35" width="77" style="1" customWidth="1"/>
    <col min="36" max="36" width="11" style="1" customWidth="1"/>
    <col min="37" max="37" width="27.33203125" style="1" customWidth="1"/>
    <col min="38" max="38" width="30.83203125" style="3" customWidth="1"/>
    <col min="39" max="39" width="17.83203125" style="3" bestFit="1" customWidth="1"/>
    <col min="40" max="40" width="30.83203125" style="3" customWidth="1"/>
    <col min="41" max="41" width="17.83203125" style="3" bestFit="1" customWidth="1"/>
    <col min="42" max="42" width="57.83203125" style="39" customWidth="1"/>
    <col min="43" max="43" width="53.6640625" style="39" customWidth="1"/>
    <col min="44" max="44" width="79.83203125" style="39" customWidth="1"/>
    <col min="45" max="45" width="79.83203125" style="3" customWidth="1"/>
    <col min="46" max="16384" width="10.83203125" style="1"/>
  </cols>
  <sheetData>
    <row r="1" spans="1:45" s="27" customFormat="1">
      <c r="A1" s="41" t="s">
        <v>0</v>
      </c>
      <c r="B1" s="41" t="s">
        <v>595</v>
      </c>
      <c r="C1" s="27" t="s">
        <v>349</v>
      </c>
      <c r="D1" s="27" t="s">
        <v>350</v>
      </c>
      <c r="E1" s="27" t="s">
        <v>1</v>
      </c>
      <c r="F1" s="27" t="s">
        <v>2</v>
      </c>
      <c r="G1" s="27" t="s">
        <v>3</v>
      </c>
      <c r="H1" s="28" t="s">
        <v>534</v>
      </c>
      <c r="I1" s="28" t="s">
        <v>591</v>
      </c>
      <c r="J1" s="28" t="s">
        <v>592</v>
      </c>
      <c r="K1" s="28" t="s">
        <v>593</v>
      </c>
      <c r="L1" s="28" t="s">
        <v>594</v>
      </c>
      <c r="M1" s="27" t="s">
        <v>590</v>
      </c>
      <c r="N1" s="27" t="s">
        <v>4</v>
      </c>
      <c r="O1" s="27" t="s">
        <v>5</v>
      </c>
      <c r="P1" s="29" t="s">
        <v>6</v>
      </c>
      <c r="Q1" s="41" t="s">
        <v>7</v>
      </c>
      <c r="R1" s="37" t="s">
        <v>608</v>
      </c>
      <c r="S1" s="38" t="s">
        <v>609</v>
      </c>
      <c r="T1" s="38" t="s">
        <v>610</v>
      </c>
      <c r="U1" s="38" t="s">
        <v>611</v>
      </c>
      <c r="V1" s="38" t="s">
        <v>612</v>
      </c>
      <c r="W1" s="27" t="s">
        <v>9</v>
      </c>
      <c r="X1" s="61" t="s">
        <v>8</v>
      </c>
      <c r="Y1" s="37" t="s">
        <v>613</v>
      </c>
      <c r="Z1" s="38" t="s">
        <v>614</v>
      </c>
      <c r="AA1" s="38" t="s">
        <v>615</v>
      </c>
      <c r="AB1" s="38" t="s">
        <v>616</v>
      </c>
      <c r="AC1" s="38" t="s">
        <v>617</v>
      </c>
      <c r="AD1" s="27" t="s">
        <v>10</v>
      </c>
      <c r="AE1" s="41" t="s">
        <v>11</v>
      </c>
      <c r="AF1" s="41" t="s">
        <v>12</v>
      </c>
      <c r="AG1" s="41" t="s">
        <v>13</v>
      </c>
      <c r="AH1" s="27" t="s">
        <v>14</v>
      </c>
      <c r="AI1" s="27" t="s">
        <v>548</v>
      </c>
      <c r="AJ1" s="27" t="s">
        <v>582</v>
      </c>
      <c r="AK1" s="53"/>
      <c r="AL1" s="28" t="s">
        <v>624</v>
      </c>
      <c r="AM1" s="28" t="s">
        <v>356</v>
      </c>
      <c r="AN1" s="28" t="s">
        <v>355</v>
      </c>
      <c r="AO1" s="28" t="s">
        <v>356</v>
      </c>
      <c r="AP1" s="40" t="s">
        <v>533</v>
      </c>
      <c r="AQ1" s="40" t="s">
        <v>357</v>
      </c>
      <c r="AR1" s="40" t="s">
        <v>358</v>
      </c>
      <c r="AS1" s="28" t="s">
        <v>359</v>
      </c>
    </row>
    <row r="2" spans="1:45" s="64" customFormat="1">
      <c r="A2" s="63" t="s">
        <v>623</v>
      </c>
      <c r="B2" s="63" t="s">
        <v>619</v>
      </c>
      <c r="E2" s="64" t="s">
        <v>620</v>
      </c>
      <c r="F2" s="64" t="s">
        <v>621</v>
      </c>
      <c r="G2" s="64" t="s">
        <v>622</v>
      </c>
      <c r="H2" s="65"/>
      <c r="I2" s="65"/>
      <c r="J2" s="65"/>
      <c r="K2" s="65"/>
      <c r="L2" s="65"/>
      <c r="P2" s="66"/>
      <c r="Q2" s="63" t="s">
        <v>7</v>
      </c>
      <c r="R2" s="37"/>
      <c r="S2" s="38"/>
      <c r="T2" s="38"/>
      <c r="U2" s="38"/>
      <c r="V2" s="38"/>
      <c r="X2" s="67" t="s">
        <v>8</v>
      </c>
      <c r="Y2" s="37"/>
      <c r="Z2" s="38"/>
      <c r="AA2" s="38"/>
      <c r="AB2" s="38"/>
      <c r="AC2" s="38"/>
      <c r="AE2" s="63" t="s">
        <v>11</v>
      </c>
      <c r="AF2" s="63" t="s">
        <v>12</v>
      </c>
      <c r="AG2" s="63" t="s">
        <v>13</v>
      </c>
      <c r="AH2" s="64" t="s">
        <v>14</v>
      </c>
      <c r="AK2" s="68"/>
      <c r="AL2" s="65" t="s">
        <v>625</v>
      </c>
      <c r="AM2" s="65" t="s">
        <v>627</v>
      </c>
      <c r="AN2" s="65" t="s">
        <v>626</v>
      </c>
      <c r="AO2" s="65" t="s">
        <v>628</v>
      </c>
      <c r="AP2" s="69" t="s">
        <v>629</v>
      </c>
      <c r="AQ2" s="69" t="s">
        <v>630</v>
      </c>
      <c r="AR2" s="40" t="s">
        <v>358</v>
      </c>
      <c r="AS2" s="28" t="s">
        <v>359</v>
      </c>
    </row>
    <row r="3" spans="1:45">
      <c r="A3" s="39">
        <v>3</v>
      </c>
      <c r="B3" s="39">
        <v>1</v>
      </c>
      <c r="C3" s="3">
        <v>1</v>
      </c>
      <c r="D3" s="3" t="s">
        <v>351</v>
      </c>
      <c r="E3" s="1" t="s">
        <v>15</v>
      </c>
      <c r="F3" s="23" t="s">
        <v>537</v>
      </c>
      <c r="G3" s="16" t="s">
        <v>23</v>
      </c>
      <c r="H3" s="17" t="s">
        <v>24</v>
      </c>
      <c r="I3" s="17" t="s">
        <v>24</v>
      </c>
      <c r="J3" s="17" t="s">
        <v>24</v>
      </c>
      <c r="K3" s="17" t="s">
        <v>24</v>
      </c>
      <c r="L3" s="17" t="s">
        <v>24</v>
      </c>
      <c r="M3" s="16" t="s">
        <v>347</v>
      </c>
      <c r="N3" s="4">
        <v>68487</v>
      </c>
      <c r="O3" s="1">
        <v>101380</v>
      </c>
      <c r="P3" s="2">
        <f t="shared" ref="P3:P43" si="0">N3/O3</f>
        <v>0.6755474452554745</v>
      </c>
      <c r="Q3" s="6">
        <v>0.80195238049783102</v>
      </c>
      <c r="R3" s="36">
        <v>0.82032254400000004</v>
      </c>
      <c r="S3">
        <v>505416</v>
      </c>
      <c r="T3">
        <v>11041</v>
      </c>
      <c r="U3">
        <v>18079</v>
      </c>
      <c r="V3">
        <v>50408</v>
      </c>
      <c r="W3" s="4">
        <v>2</v>
      </c>
      <c r="X3" s="7">
        <v>0.95498148482270995</v>
      </c>
      <c r="Y3" s="36">
        <v>0.97666014981437899</v>
      </c>
      <c r="Z3">
        <v>244465</v>
      </c>
      <c r="AA3">
        <v>2125</v>
      </c>
      <c r="AB3">
        <v>12459</v>
      </c>
      <c r="AC3">
        <v>88921</v>
      </c>
      <c r="AD3" s="1">
        <v>2</v>
      </c>
      <c r="AE3" s="39" t="s">
        <v>25</v>
      </c>
      <c r="AF3" s="42" t="s">
        <v>26</v>
      </c>
      <c r="AG3" s="39" t="s">
        <v>27</v>
      </c>
      <c r="AH3" s="1" t="s">
        <v>28</v>
      </c>
      <c r="AI3" s="1" t="s">
        <v>549</v>
      </c>
      <c r="AJ3" s="1">
        <v>6</v>
      </c>
      <c r="AL3" s="3" t="s">
        <v>23</v>
      </c>
      <c r="AM3" s="1" t="s">
        <v>360</v>
      </c>
      <c r="AN3" s="16" t="s">
        <v>23</v>
      </c>
      <c r="AO3" s="1" t="s">
        <v>360</v>
      </c>
      <c r="AP3" s="39" t="s">
        <v>361</v>
      </c>
      <c r="AQ3" s="47" t="s">
        <v>362</v>
      </c>
      <c r="AR3" s="50" t="s">
        <v>363</v>
      </c>
      <c r="AS3" s="3" t="s">
        <v>364</v>
      </c>
    </row>
    <row r="4" spans="1:45">
      <c r="A4" s="39">
        <v>9</v>
      </c>
      <c r="B4" s="39">
        <v>7</v>
      </c>
      <c r="C4" s="3">
        <v>2</v>
      </c>
      <c r="D4" s="3" t="s">
        <v>351</v>
      </c>
      <c r="E4" s="1" t="s">
        <v>50</v>
      </c>
      <c r="F4" s="23" t="s">
        <v>57</v>
      </c>
      <c r="G4" s="16" t="s">
        <v>58</v>
      </c>
      <c r="H4" s="17" t="s">
        <v>24</v>
      </c>
      <c r="I4" s="17" t="s">
        <v>24</v>
      </c>
      <c r="J4" s="17" t="s">
        <v>24</v>
      </c>
      <c r="K4" s="17" t="s">
        <v>24</v>
      </c>
      <c r="L4" s="17" t="s">
        <v>24</v>
      </c>
      <c r="M4" s="16" t="s">
        <v>347</v>
      </c>
      <c r="N4" s="4">
        <v>8834</v>
      </c>
      <c r="O4" s="1">
        <v>2189</v>
      </c>
      <c r="P4" s="2">
        <f t="shared" si="0"/>
        <v>4.0356327089995432</v>
      </c>
      <c r="Q4" s="6">
        <v>0.46083290184185199</v>
      </c>
      <c r="R4" s="36">
        <v>0.54757196200000002</v>
      </c>
      <c r="S4">
        <v>574051</v>
      </c>
      <c r="T4">
        <v>2059</v>
      </c>
      <c r="U4">
        <v>6342</v>
      </c>
      <c r="V4">
        <v>2492</v>
      </c>
      <c r="W4" s="4">
        <v>2</v>
      </c>
      <c r="X4" s="7">
        <v>0.50664800559832002</v>
      </c>
      <c r="Y4" s="36">
        <v>0.58434221146085596</v>
      </c>
      <c r="Z4">
        <v>345266</v>
      </c>
      <c r="AA4">
        <v>515</v>
      </c>
      <c r="AB4">
        <v>1465</v>
      </c>
      <c r="AC4">
        <v>724</v>
      </c>
      <c r="AD4" s="1">
        <v>2</v>
      </c>
      <c r="AE4" s="39" t="s">
        <v>59</v>
      </c>
      <c r="AF4" s="42" t="s">
        <v>60</v>
      </c>
      <c r="AG4" s="39" t="s">
        <v>61</v>
      </c>
      <c r="AH4" s="1" t="s">
        <v>62</v>
      </c>
      <c r="AI4" s="1" t="s">
        <v>550</v>
      </c>
      <c r="AJ4" s="1">
        <v>6</v>
      </c>
      <c r="AL4" s="3" t="s">
        <v>57</v>
      </c>
      <c r="AM4" s="1" t="s">
        <v>360</v>
      </c>
      <c r="AN4" s="16" t="s">
        <v>58</v>
      </c>
      <c r="AO4" s="1" t="s">
        <v>360</v>
      </c>
      <c r="AP4" s="39" t="s">
        <v>373</v>
      </c>
      <c r="AQ4" s="47" t="s">
        <v>374</v>
      </c>
      <c r="AR4" s="50" t="s">
        <v>375</v>
      </c>
      <c r="AS4" s="3" t="s">
        <v>376</v>
      </c>
    </row>
    <row r="5" spans="1:45">
      <c r="A5" s="39">
        <v>13</v>
      </c>
      <c r="B5" s="39">
        <v>10</v>
      </c>
      <c r="C5" s="3">
        <v>3</v>
      </c>
      <c r="D5" s="3" t="s">
        <v>351</v>
      </c>
      <c r="E5" s="1" t="s">
        <v>75</v>
      </c>
      <c r="F5" s="23" t="s">
        <v>76</v>
      </c>
      <c r="G5" s="16" t="s">
        <v>77</v>
      </c>
      <c r="H5" s="17" t="s">
        <v>24</v>
      </c>
      <c r="I5" s="17" t="s">
        <v>24</v>
      </c>
      <c r="J5" s="17" t="s">
        <v>24</v>
      </c>
      <c r="K5" s="17" t="s">
        <v>24</v>
      </c>
      <c r="L5" s="17" t="s">
        <v>24</v>
      </c>
      <c r="M5" s="16" t="s">
        <v>347</v>
      </c>
      <c r="N5" s="4">
        <v>6623</v>
      </c>
      <c r="O5" s="1">
        <v>2919</v>
      </c>
      <c r="P5" s="2">
        <f t="shared" si="0"/>
        <v>2.2689277149708804</v>
      </c>
      <c r="Q5" s="6">
        <v>0.96417185365113101</v>
      </c>
      <c r="R5" s="36">
        <v>0.965491031</v>
      </c>
      <c r="S5">
        <v>578094</v>
      </c>
      <c r="T5">
        <v>227</v>
      </c>
      <c r="U5">
        <v>272</v>
      </c>
      <c r="V5">
        <v>6351</v>
      </c>
      <c r="W5" s="4">
        <v>1</v>
      </c>
      <c r="X5" s="7">
        <v>0.95642933049946799</v>
      </c>
      <c r="Y5" s="36">
        <v>0.96463022508038598</v>
      </c>
      <c r="Z5">
        <v>344952</v>
      </c>
      <c r="AA5">
        <v>99</v>
      </c>
      <c r="AB5">
        <v>219</v>
      </c>
      <c r="AC5">
        <v>2700</v>
      </c>
      <c r="AD5" s="1">
        <v>1</v>
      </c>
      <c r="AE5" s="39" t="s">
        <v>78</v>
      </c>
      <c r="AF5" s="42" t="s">
        <v>79</v>
      </c>
      <c r="AG5" s="39" t="s">
        <v>80</v>
      </c>
      <c r="AH5" s="1" t="s">
        <v>81</v>
      </c>
      <c r="AI5" s="1" t="s">
        <v>583</v>
      </c>
      <c r="AJ5" s="1">
        <v>9</v>
      </c>
      <c r="AL5" s="3" t="s">
        <v>76</v>
      </c>
      <c r="AM5" s="1" t="s">
        <v>360</v>
      </c>
      <c r="AN5" s="16" t="s">
        <v>77</v>
      </c>
      <c r="AO5" s="1" t="s">
        <v>360</v>
      </c>
      <c r="AP5" s="39" t="s">
        <v>377</v>
      </c>
      <c r="AQ5" s="47" t="s">
        <v>378</v>
      </c>
      <c r="AR5" s="50" t="s">
        <v>379</v>
      </c>
      <c r="AS5" s="3" t="s">
        <v>380</v>
      </c>
    </row>
    <row r="6" spans="1:45">
      <c r="A6" s="39">
        <v>15</v>
      </c>
      <c r="B6" s="39">
        <v>11</v>
      </c>
      <c r="C6" s="3">
        <v>4</v>
      </c>
      <c r="D6" s="3" t="s">
        <v>351</v>
      </c>
      <c r="E6" s="1" t="s">
        <v>82</v>
      </c>
      <c r="F6" s="23" t="s">
        <v>86</v>
      </c>
      <c r="G6" s="16" t="s">
        <v>87</v>
      </c>
      <c r="H6" s="17" t="s">
        <v>24</v>
      </c>
      <c r="I6" s="17" t="s">
        <v>24</v>
      </c>
      <c r="J6" s="17" t="s">
        <v>24</v>
      </c>
      <c r="K6" s="17" t="s">
        <v>24</v>
      </c>
      <c r="L6" s="17" t="s">
        <v>24</v>
      </c>
      <c r="M6" s="16" t="s">
        <v>347</v>
      </c>
      <c r="N6" s="4">
        <v>16978</v>
      </c>
      <c r="O6" s="1">
        <v>8853</v>
      </c>
      <c r="P6" s="2">
        <f t="shared" si="0"/>
        <v>1.9177679882525698</v>
      </c>
      <c r="Q6" s="6">
        <v>0.78914963234000601</v>
      </c>
      <c r="R6" s="36">
        <v>0.90017056299999998</v>
      </c>
      <c r="S6">
        <v>566971</v>
      </c>
      <c r="T6">
        <v>995</v>
      </c>
      <c r="U6">
        <v>8006</v>
      </c>
      <c r="V6">
        <v>8972</v>
      </c>
      <c r="W6" s="4">
        <v>2</v>
      </c>
      <c r="X6" s="7">
        <v>0.88121085003259503</v>
      </c>
      <c r="Y6" s="36">
        <v>0.94112305130921803</v>
      </c>
      <c r="Z6">
        <v>338728</v>
      </c>
      <c r="AA6">
        <v>389</v>
      </c>
      <c r="AB6">
        <v>2635</v>
      </c>
      <c r="AC6">
        <v>6218</v>
      </c>
      <c r="AD6" s="1">
        <v>2</v>
      </c>
      <c r="AE6" s="39" t="s">
        <v>88</v>
      </c>
      <c r="AF6" s="42" t="s">
        <v>89</v>
      </c>
      <c r="AG6" s="39" t="s">
        <v>90</v>
      </c>
      <c r="AH6" s="1" t="s">
        <v>91</v>
      </c>
      <c r="AI6" s="1" t="s">
        <v>589</v>
      </c>
      <c r="AJ6" s="1">
        <v>8</v>
      </c>
      <c r="AL6" s="3" t="s">
        <v>86</v>
      </c>
      <c r="AM6" s="1" t="s">
        <v>360</v>
      </c>
      <c r="AN6" s="16" t="s">
        <v>87</v>
      </c>
      <c r="AO6" s="1" t="s">
        <v>360</v>
      </c>
      <c r="AP6" s="39" t="s">
        <v>381</v>
      </c>
      <c r="AQ6" s="47" t="s">
        <v>382</v>
      </c>
      <c r="AR6" s="50" t="s">
        <v>383</v>
      </c>
      <c r="AS6" s="3" t="s">
        <v>384</v>
      </c>
    </row>
    <row r="7" spans="1:45">
      <c r="A7" s="39">
        <v>16</v>
      </c>
      <c r="B7" s="39">
        <v>12</v>
      </c>
      <c r="C7" s="3">
        <v>5</v>
      </c>
      <c r="D7" s="3" t="s">
        <v>351</v>
      </c>
      <c r="E7" s="1" t="s">
        <v>82</v>
      </c>
      <c r="F7" s="23" t="s">
        <v>92</v>
      </c>
      <c r="G7" s="16" t="s">
        <v>93</v>
      </c>
      <c r="H7" s="17" t="s">
        <v>24</v>
      </c>
      <c r="I7" s="17" t="s">
        <v>24</v>
      </c>
      <c r="J7" s="17" t="s">
        <v>24</v>
      </c>
      <c r="K7" s="17" t="s">
        <v>24</v>
      </c>
      <c r="L7" s="17" t="s">
        <v>24</v>
      </c>
      <c r="M7" s="16" t="s">
        <v>347</v>
      </c>
      <c r="N7" s="4">
        <v>21285</v>
      </c>
      <c r="O7" s="1">
        <v>5641</v>
      </c>
      <c r="P7" s="2">
        <f t="shared" si="0"/>
        <v>3.7732671512143239</v>
      </c>
      <c r="Q7" s="6">
        <v>0.59413528823725403</v>
      </c>
      <c r="R7" s="36">
        <v>0.66356531399999996</v>
      </c>
      <c r="S7">
        <v>559139</v>
      </c>
      <c r="T7">
        <v>4520</v>
      </c>
      <c r="U7">
        <v>12370</v>
      </c>
      <c r="V7">
        <v>8915</v>
      </c>
      <c r="W7" s="4">
        <v>2</v>
      </c>
      <c r="X7" s="7">
        <v>0.63198387983147097</v>
      </c>
      <c r="Y7" s="36">
        <v>0.77123695976155004</v>
      </c>
      <c r="Z7">
        <v>341715</v>
      </c>
      <c r="AA7">
        <v>614</v>
      </c>
      <c r="AB7">
        <v>3571</v>
      </c>
      <c r="AC7">
        <v>2070</v>
      </c>
      <c r="AD7" s="1">
        <v>2</v>
      </c>
      <c r="AE7" s="39" t="s">
        <v>94</v>
      </c>
      <c r="AF7" s="42" t="s">
        <v>95</v>
      </c>
      <c r="AG7" s="39" t="s">
        <v>96</v>
      </c>
      <c r="AH7" s="1" t="s">
        <v>97</v>
      </c>
      <c r="AI7" s="1" t="s">
        <v>558</v>
      </c>
      <c r="AJ7" s="1">
        <v>4</v>
      </c>
      <c r="AL7" s="3" t="s">
        <v>92</v>
      </c>
      <c r="AM7" s="1" t="s">
        <v>360</v>
      </c>
      <c r="AN7" s="16" t="s">
        <v>93</v>
      </c>
      <c r="AO7" s="1" t="s">
        <v>360</v>
      </c>
      <c r="AP7" s="39" t="s">
        <v>498</v>
      </c>
      <c r="AQ7" s="47" t="s">
        <v>499</v>
      </c>
      <c r="AR7" s="50" t="s">
        <v>500</v>
      </c>
      <c r="AS7" s="3" t="s">
        <v>501</v>
      </c>
    </row>
    <row r="8" spans="1:45">
      <c r="A8" s="39">
        <v>17</v>
      </c>
      <c r="B8" s="39">
        <v>15</v>
      </c>
      <c r="C8" s="3">
        <v>6</v>
      </c>
      <c r="D8" s="3" t="s">
        <v>351</v>
      </c>
      <c r="E8" s="1" t="s">
        <v>82</v>
      </c>
      <c r="F8" s="23" t="s">
        <v>98</v>
      </c>
      <c r="G8" s="16" t="s">
        <v>99</v>
      </c>
      <c r="H8" s="17" t="s">
        <v>24</v>
      </c>
      <c r="I8" s="17" t="s">
        <v>24</v>
      </c>
      <c r="J8" s="17" t="s">
        <v>24</v>
      </c>
      <c r="K8" s="17" t="s">
        <v>24</v>
      </c>
      <c r="L8" s="17" t="s">
        <v>24</v>
      </c>
      <c r="M8" s="16" t="s">
        <v>347</v>
      </c>
      <c r="N8" s="4">
        <v>29074</v>
      </c>
      <c r="O8" s="1">
        <v>3443</v>
      </c>
      <c r="P8" s="2">
        <f t="shared" si="0"/>
        <v>8.4443799012489116</v>
      </c>
      <c r="Q8" s="6">
        <v>0.75842217484008501</v>
      </c>
      <c r="R8" s="36">
        <v>0.8067955</v>
      </c>
      <c r="S8">
        <v>551611</v>
      </c>
      <c r="T8">
        <v>4259</v>
      </c>
      <c r="U8">
        <v>11289</v>
      </c>
      <c r="V8">
        <v>17785</v>
      </c>
      <c r="W8" s="4">
        <v>2</v>
      </c>
      <c r="X8" s="7">
        <v>0.83947167894335795</v>
      </c>
      <c r="Y8" s="36">
        <v>0.94789674952198799</v>
      </c>
      <c r="Z8">
        <v>344418</v>
      </c>
      <c r="AA8">
        <v>109</v>
      </c>
      <c r="AB8">
        <v>1460</v>
      </c>
      <c r="AC8">
        <v>1983</v>
      </c>
      <c r="AD8" s="1">
        <v>3</v>
      </c>
      <c r="AE8" s="39" t="s">
        <v>100</v>
      </c>
      <c r="AF8" s="42" t="s">
        <v>101</v>
      </c>
      <c r="AG8" s="39" t="s">
        <v>102</v>
      </c>
      <c r="AH8" s="1" t="s">
        <v>103</v>
      </c>
      <c r="AI8" s="1" t="s">
        <v>559</v>
      </c>
      <c r="AJ8" s="1">
        <v>5</v>
      </c>
      <c r="AL8" s="3" t="s">
        <v>98</v>
      </c>
      <c r="AM8" s="1" t="s">
        <v>360</v>
      </c>
      <c r="AN8" s="16" t="s">
        <v>99</v>
      </c>
      <c r="AO8" s="1" t="s">
        <v>360</v>
      </c>
      <c r="AP8" s="39" t="s">
        <v>502</v>
      </c>
      <c r="AQ8" s="47" t="s">
        <v>503</v>
      </c>
      <c r="AR8" s="50" t="s">
        <v>504</v>
      </c>
      <c r="AS8" s="3" t="s">
        <v>505</v>
      </c>
    </row>
    <row r="9" spans="1:45">
      <c r="A9" s="39">
        <v>18</v>
      </c>
      <c r="B9" s="39">
        <v>16</v>
      </c>
      <c r="C9" s="3">
        <v>7</v>
      </c>
      <c r="D9" s="3" t="s">
        <v>351</v>
      </c>
      <c r="E9" s="1" t="s">
        <v>104</v>
      </c>
      <c r="F9" s="23" t="s">
        <v>105</v>
      </c>
      <c r="G9" s="16" t="s">
        <v>106</v>
      </c>
      <c r="H9" s="17" t="s">
        <v>24</v>
      </c>
      <c r="I9" s="17" t="s">
        <v>24</v>
      </c>
      <c r="J9" s="17" t="s">
        <v>24</v>
      </c>
      <c r="K9" s="17" t="s">
        <v>24</v>
      </c>
      <c r="L9" s="17" t="s">
        <v>24</v>
      </c>
      <c r="M9" s="16" t="s">
        <v>347</v>
      </c>
      <c r="N9" s="4">
        <v>1773</v>
      </c>
      <c r="O9" s="1">
        <v>2181</v>
      </c>
      <c r="P9" s="2">
        <f t="shared" si="0"/>
        <v>0.81292984869326002</v>
      </c>
      <c r="Q9" s="6">
        <v>0.905737183564432</v>
      </c>
      <c r="R9" s="36">
        <v>0.93561103800000001</v>
      </c>
      <c r="S9">
        <v>583073</v>
      </c>
      <c r="T9">
        <v>98</v>
      </c>
      <c r="U9">
        <v>349</v>
      </c>
      <c r="V9">
        <v>1424</v>
      </c>
      <c r="W9" s="4">
        <v>1</v>
      </c>
      <c r="X9" s="7">
        <v>0.82434346736406205</v>
      </c>
      <c r="Y9" s="36">
        <v>0.865065751858205</v>
      </c>
      <c r="Z9">
        <v>345553</v>
      </c>
      <c r="AA9">
        <v>236</v>
      </c>
      <c r="AB9">
        <v>668</v>
      </c>
      <c r="AC9">
        <v>1513</v>
      </c>
      <c r="AD9" s="1">
        <v>1</v>
      </c>
      <c r="AE9" s="39" t="s">
        <v>107</v>
      </c>
      <c r="AF9" s="42" t="s">
        <v>108</v>
      </c>
      <c r="AG9" s="39" t="s">
        <v>109</v>
      </c>
      <c r="AH9" s="1" t="s">
        <v>110</v>
      </c>
      <c r="AI9" s="1" t="s">
        <v>573</v>
      </c>
      <c r="AJ9" s="1">
        <v>5</v>
      </c>
      <c r="AL9" s="3" t="s">
        <v>105</v>
      </c>
      <c r="AM9" s="1" t="s">
        <v>360</v>
      </c>
      <c r="AN9" s="16" t="s">
        <v>106</v>
      </c>
      <c r="AO9" s="1" t="s">
        <v>360</v>
      </c>
      <c r="AP9" s="39" t="s">
        <v>385</v>
      </c>
      <c r="AQ9" s="47" t="s">
        <v>386</v>
      </c>
      <c r="AR9" s="50" t="s">
        <v>387</v>
      </c>
      <c r="AS9" s="3" t="s">
        <v>388</v>
      </c>
    </row>
    <row r="10" spans="1:45">
      <c r="A10" s="39">
        <v>19</v>
      </c>
      <c r="B10" s="39">
        <v>17</v>
      </c>
      <c r="C10" s="3">
        <v>8</v>
      </c>
      <c r="D10" s="3" t="s">
        <v>351</v>
      </c>
      <c r="E10" s="1" t="s">
        <v>104</v>
      </c>
      <c r="F10" s="23" t="s">
        <v>111</v>
      </c>
      <c r="G10" s="16" t="s">
        <v>112</v>
      </c>
      <c r="H10" s="17" t="s">
        <v>24</v>
      </c>
      <c r="I10" s="17" t="s">
        <v>24</v>
      </c>
      <c r="J10" s="17" t="s">
        <v>24</v>
      </c>
      <c r="K10" s="17" t="s">
        <v>24</v>
      </c>
      <c r="L10" s="17" t="s">
        <v>24</v>
      </c>
      <c r="M10" s="16" t="s">
        <v>347</v>
      </c>
      <c r="N10" s="4">
        <v>4511</v>
      </c>
      <c r="O10" s="1">
        <v>3167</v>
      </c>
      <c r="P10" s="2">
        <f t="shared" si="0"/>
        <v>1.4243763814335333</v>
      </c>
      <c r="Q10" s="6">
        <v>0.85697438249361202</v>
      </c>
      <c r="R10" s="36">
        <v>0.97321428600000004</v>
      </c>
      <c r="S10">
        <v>580361</v>
      </c>
      <c r="T10">
        <v>72</v>
      </c>
      <c r="U10">
        <v>1895</v>
      </c>
      <c r="V10">
        <v>2616</v>
      </c>
      <c r="W10" s="4">
        <v>2</v>
      </c>
      <c r="X10" s="7">
        <v>0.85082428628870099</v>
      </c>
      <c r="Y10" s="36">
        <v>0.91324989210185603</v>
      </c>
      <c r="Z10">
        <v>344602</v>
      </c>
      <c r="AA10">
        <v>201</v>
      </c>
      <c r="AB10">
        <v>1051</v>
      </c>
      <c r="AC10">
        <v>2116</v>
      </c>
      <c r="AD10" s="1">
        <v>1</v>
      </c>
      <c r="AE10" s="39" t="s">
        <v>113</v>
      </c>
      <c r="AF10" s="42" t="s">
        <v>114</v>
      </c>
      <c r="AG10" s="39" t="s">
        <v>115</v>
      </c>
      <c r="AH10" s="1" t="s">
        <v>116</v>
      </c>
      <c r="AI10" s="12" t="s">
        <v>556</v>
      </c>
      <c r="AJ10" s="12">
        <v>3</v>
      </c>
      <c r="AL10" s="3" t="s">
        <v>111</v>
      </c>
      <c r="AM10" s="1" t="s">
        <v>360</v>
      </c>
      <c r="AN10" s="16" t="s">
        <v>112</v>
      </c>
      <c r="AO10" s="1" t="s">
        <v>360</v>
      </c>
      <c r="AP10" s="39" t="s">
        <v>112</v>
      </c>
      <c r="AQ10" s="47" t="s">
        <v>389</v>
      </c>
      <c r="AR10" s="50" t="s">
        <v>390</v>
      </c>
      <c r="AS10" s="3" t="s">
        <v>391</v>
      </c>
    </row>
    <row r="11" spans="1:45">
      <c r="A11" s="39">
        <v>20</v>
      </c>
      <c r="B11" s="39">
        <v>18</v>
      </c>
      <c r="C11" s="3">
        <v>9</v>
      </c>
      <c r="D11" s="3" t="s">
        <v>351</v>
      </c>
      <c r="E11" s="1" t="s">
        <v>104</v>
      </c>
      <c r="F11" s="23" t="s">
        <v>117</v>
      </c>
      <c r="G11" s="16" t="s">
        <v>118</v>
      </c>
      <c r="H11" s="17" t="s">
        <v>24</v>
      </c>
      <c r="I11" s="17" t="s">
        <v>24</v>
      </c>
      <c r="J11" s="17" t="s">
        <v>24</v>
      </c>
      <c r="K11" s="17" t="s">
        <v>24</v>
      </c>
      <c r="L11" s="17" t="s">
        <v>24</v>
      </c>
      <c r="M11" s="16" t="s">
        <v>347</v>
      </c>
      <c r="N11" s="4">
        <v>552</v>
      </c>
      <c r="O11" s="1">
        <v>236</v>
      </c>
      <c r="P11" s="2">
        <f t="shared" si="0"/>
        <v>2.3389830508474576</v>
      </c>
      <c r="Q11" s="6">
        <v>0.79015544041450703</v>
      </c>
      <c r="R11" s="36">
        <v>0.98387096799999996</v>
      </c>
      <c r="S11">
        <v>584388</v>
      </c>
      <c r="T11">
        <v>4</v>
      </c>
      <c r="U11">
        <v>308</v>
      </c>
      <c r="V11">
        <v>244</v>
      </c>
      <c r="W11" s="4">
        <v>2</v>
      </c>
      <c r="X11" s="7">
        <v>0.77110389610389596</v>
      </c>
      <c r="Y11" s="36">
        <v>1</v>
      </c>
      <c r="Z11">
        <v>347734</v>
      </c>
      <c r="AA11">
        <v>0</v>
      </c>
      <c r="AB11">
        <v>141</v>
      </c>
      <c r="AC11">
        <v>95</v>
      </c>
      <c r="AD11" s="1">
        <v>2</v>
      </c>
      <c r="AE11" s="39" t="s">
        <v>119</v>
      </c>
      <c r="AF11" s="42" t="s">
        <v>120</v>
      </c>
      <c r="AG11" s="39" t="s">
        <v>121</v>
      </c>
      <c r="AH11" s="1" t="s">
        <v>122</v>
      </c>
      <c r="AI11" s="1" t="s">
        <v>574</v>
      </c>
      <c r="AJ11" s="1">
        <v>7</v>
      </c>
      <c r="AL11" s="3" t="s">
        <v>117</v>
      </c>
      <c r="AM11" s="1" t="s">
        <v>360</v>
      </c>
      <c r="AN11" s="16" t="s">
        <v>118</v>
      </c>
      <c r="AO11" s="1" t="s">
        <v>360</v>
      </c>
      <c r="AP11" s="39" t="s">
        <v>392</v>
      </c>
      <c r="AQ11" s="47" t="s">
        <v>393</v>
      </c>
      <c r="AR11" s="50" t="s">
        <v>394</v>
      </c>
      <c r="AS11" s="3" t="s">
        <v>395</v>
      </c>
    </row>
    <row r="12" spans="1:45">
      <c r="A12" s="39">
        <v>21</v>
      </c>
      <c r="B12" s="39">
        <v>19</v>
      </c>
      <c r="C12" s="3">
        <v>10</v>
      </c>
      <c r="D12" s="3" t="s">
        <v>352</v>
      </c>
      <c r="E12" s="1" t="s">
        <v>123</v>
      </c>
      <c r="F12" s="23" t="s">
        <v>538</v>
      </c>
      <c r="G12" s="16" t="s">
        <v>125</v>
      </c>
      <c r="H12" s="17" t="s">
        <v>24</v>
      </c>
      <c r="I12" s="17" t="s">
        <v>24</v>
      </c>
      <c r="J12" s="17" t="s">
        <v>24</v>
      </c>
      <c r="K12" s="17" t="s">
        <v>24</v>
      </c>
      <c r="L12" s="17" t="s">
        <v>24</v>
      </c>
      <c r="M12" s="16" t="s">
        <v>347</v>
      </c>
      <c r="N12" s="4">
        <v>4001</v>
      </c>
      <c r="O12" s="1">
        <v>3366</v>
      </c>
      <c r="P12" s="2">
        <f t="shared" si="0"/>
        <v>1.1886512180629827</v>
      </c>
      <c r="Q12" s="6">
        <v>0.88308774792229605</v>
      </c>
      <c r="R12" s="36">
        <v>0.88752241899999995</v>
      </c>
      <c r="S12">
        <v>580504</v>
      </c>
      <c r="T12">
        <v>439</v>
      </c>
      <c r="U12">
        <v>537</v>
      </c>
      <c r="V12">
        <v>3464</v>
      </c>
      <c r="W12" s="4">
        <v>1</v>
      </c>
      <c r="X12" s="7">
        <v>0.92213895592531403</v>
      </c>
      <c r="Y12" s="36">
        <v>0.93828756058158302</v>
      </c>
      <c r="Z12">
        <v>344413</v>
      </c>
      <c r="AA12">
        <v>191</v>
      </c>
      <c r="AB12">
        <v>462</v>
      </c>
      <c r="AC12">
        <v>2904</v>
      </c>
      <c r="AD12" s="1">
        <v>1</v>
      </c>
      <c r="AE12" s="39" t="s">
        <v>126</v>
      </c>
      <c r="AF12" s="42" t="s">
        <v>126</v>
      </c>
      <c r="AG12" s="39" t="s">
        <v>127</v>
      </c>
      <c r="AH12" s="1" t="s">
        <v>128</v>
      </c>
      <c r="AI12" s="1" t="s">
        <v>568</v>
      </c>
      <c r="AJ12" s="1">
        <v>5</v>
      </c>
      <c r="AL12" s="3" t="s">
        <v>124</v>
      </c>
      <c r="AM12" s="1" t="s">
        <v>360</v>
      </c>
      <c r="AN12" s="16" t="s">
        <v>125</v>
      </c>
      <c r="AO12" s="1" t="s">
        <v>360</v>
      </c>
      <c r="AP12" s="39" t="s">
        <v>396</v>
      </c>
      <c r="AQ12" s="47" t="s">
        <v>397</v>
      </c>
      <c r="AR12" s="50" t="s">
        <v>398</v>
      </c>
      <c r="AS12" s="3" t="s">
        <v>399</v>
      </c>
    </row>
    <row r="13" spans="1:45">
      <c r="A13" s="39">
        <v>23</v>
      </c>
      <c r="B13" s="39">
        <v>20</v>
      </c>
      <c r="C13" s="3">
        <v>11</v>
      </c>
      <c r="D13" s="3" t="s">
        <v>353</v>
      </c>
      <c r="E13" s="1" t="s">
        <v>132</v>
      </c>
      <c r="F13" s="23" t="s">
        <v>133</v>
      </c>
      <c r="G13" s="16" t="s">
        <v>134</v>
      </c>
      <c r="H13" s="17" t="s">
        <v>24</v>
      </c>
      <c r="I13" s="17" t="s">
        <v>24</v>
      </c>
      <c r="J13" s="17" t="s">
        <v>24</v>
      </c>
      <c r="K13" s="17" t="s">
        <v>24</v>
      </c>
      <c r="L13" s="17" t="s">
        <v>24</v>
      </c>
      <c r="M13" s="16" t="s">
        <v>347</v>
      </c>
      <c r="N13" s="4">
        <v>230</v>
      </c>
      <c r="O13" s="1">
        <v>106</v>
      </c>
      <c r="P13" s="2">
        <f t="shared" si="0"/>
        <v>2.1698113207547172</v>
      </c>
      <c r="Q13" s="6">
        <v>0.88729016786570702</v>
      </c>
      <c r="R13" s="36">
        <v>0.98013245000000004</v>
      </c>
      <c r="S13">
        <v>584711</v>
      </c>
      <c r="T13">
        <v>3</v>
      </c>
      <c r="U13">
        <v>82</v>
      </c>
      <c r="V13">
        <v>148</v>
      </c>
      <c r="W13" s="4">
        <v>2</v>
      </c>
      <c r="X13" s="7">
        <v>0.88397790055248604</v>
      </c>
      <c r="Y13" s="36">
        <v>1</v>
      </c>
      <c r="Z13">
        <v>347864</v>
      </c>
      <c r="AA13">
        <v>0</v>
      </c>
      <c r="AB13">
        <v>42</v>
      </c>
      <c r="AC13">
        <v>64</v>
      </c>
      <c r="AD13" s="1">
        <v>2</v>
      </c>
      <c r="AE13" s="39" t="s">
        <v>135</v>
      </c>
      <c r="AF13" s="42" t="s">
        <v>136</v>
      </c>
      <c r="AG13" s="39" t="s">
        <v>137</v>
      </c>
      <c r="AH13" s="1" t="s">
        <v>138</v>
      </c>
      <c r="AI13" s="1" t="s">
        <v>588</v>
      </c>
      <c r="AJ13" s="1">
        <v>8</v>
      </c>
      <c r="AL13" s="3" t="s">
        <v>133</v>
      </c>
      <c r="AM13" s="1" t="s">
        <v>360</v>
      </c>
      <c r="AN13" s="16" t="s">
        <v>134</v>
      </c>
      <c r="AO13" s="1" t="s">
        <v>360</v>
      </c>
      <c r="AP13" s="39" t="s">
        <v>400</v>
      </c>
      <c r="AQ13" s="47" t="s">
        <v>401</v>
      </c>
      <c r="AR13" s="50" t="s">
        <v>402</v>
      </c>
      <c r="AS13" s="3" t="s">
        <v>403</v>
      </c>
    </row>
    <row r="14" spans="1:45">
      <c r="A14" s="39">
        <v>24</v>
      </c>
      <c r="B14" s="39">
        <v>21</v>
      </c>
      <c r="C14" s="3">
        <v>12</v>
      </c>
      <c r="D14" s="3" t="s">
        <v>353</v>
      </c>
      <c r="E14" s="1" t="s">
        <v>132</v>
      </c>
      <c r="F14" s="23" t="s">
        <v>139</v>
      </c>
      <c r="G14" s="16" t="s">
        <v>140</v>
      </c>
      <c r="H14" s="17" t="s">
        <v>24</v>
      </c>
      <c r="I14" s="17" t="s">
        <v>24</v>
      </c>
      <c r="J14" s="17" t="s">
        <v>24</v>
      </c>
      <c r="K14" s="17" t="s">
        <v>24</v>
      </c>
      <c r="L14" s="17" t="s">
        <v>24</v>
      </c>
      <c r="M14" s="16" t="s">
        <v>347</v>
      </c>
      <c r="N14" s="4">
        <v>10321</v>
      </c>
      <c r="O14" s="1">
        <v>2670</v>
      </c>
      <c r="P14" s="2">
        <f t="shared" si="0"/>
        <v>3.8655430711610488</v>
      </c>
      <c r="Q14" s="6">
        <v>0.84902430674426499</v>
      </c>
      <c r="R14" s="36">
        <v>0.93273542600000003</v>
      </c>
      <c r="S14">
        <v>574158</v>
      </c>
      <c r="T14">
        <v>465</v>
      </c>
      <c r="U14">
        <v>3873</v>
      </c>
      <c r="V14">
        <v>6448</v>
      </c>
      <c r="W14" s="4">
        <v>2</v>
      </c>
      <c r="X14" s="7">
        <v>0.81005947763123898</v>
      </c>
      <c r="Y14" s="36">
        <v>0.98973143759873605</v>
      </c>
      <c r="Z14">
        <v>345287</v>
      </c>
      <c r="AA14">
        <v>13</v>
      </c>
      <c r="AB14">
        <v>1417</v>
      </c>
      <c r="AC14">
        <v>1253</v>
      </c>
      <c r="AD14" s="1">
        <v>2</v>
      </c>
      <c r="AE14" s="39" t="s">
        <v>141</v>
      </c>
      <c r="AF14" s="42" t="s">
        <v>142</v>
      </c>
      <c r="AG14" s="39" t="s">
        <v>143</v>
      </c>
      <c r="AH14" s="1" t="s">
        <v>144</v>
      </c>
      <c r="AI14" s="1" t="s">
        <v>552</v>
      </c>
      <c r="AJ14" s="1">
        <v>5</v>
      </c>
      <c r="AL14" s="3" t="s">
        <v>139</v>
      </c>
      <c r="AM14" s="1" t="s">
        <v>365</v>
      </c>
      <c r="AN14" s="16" t="s">
        <v>140</v>
      </c>
      <c r="AO14" s="1" t="s">
        <v>365</v>
      </c>
      <c r="AP14" s="39" t="s">
        <v>404</v>
      </c>
      <c r="AQ14" s="48" t="s">
        <v>405</v>
      </c>
      <c r="AR14" s="51" t="s">
        <v>406</v>
      </c>
      <c r="AS14" s="1"/>
    </row>
    <row r="15" spans="1:45">
      <c r="A15" s="39">
        <v>27</v>
      </c>
      <c r="B15" s="39">
        <v>22</v>
      </c>
      <c r="C15" s="3">
        <v>13</v>
      </c>
      <c r="D15" s="3" t="s">
        <v>353</v>
      </c>
      <c r="E15" s="1" t="s">
        <v>148</v>
      </c>
      <c r="F15" s="23" t="s">
        <v>155</v>
      </c>
      <c r="G15" s="16" t="s">
        <v>156</v>
      </c>
      <c r="H15" s="17" t="s">
        <v>24</v>
      </c>
      <c r="I15" s="17" t="s">
        <v>24</v>
      </c>
      <c r="J15" s="17" t="s">
        <v>24</v>
      </c>
      <c r="K15" s="17" t="s">
        <v>24</v>
      </c>
      <c r="L15" s="17" t="s">
        <v>24</v>
      </c>
      <c r="M15" s="16" t="s">
        <v>347</v>
      </c>
      <c r="N15" s="4">
        <v>5182</v>
      </c>
      <c r="O15" s="1">
        <v>5445</v>
      </c>
      <c r="P15" s="2">
        <f t="shared" si="0"/>
        <v>0.95169880624426084</v>
      </c>
      <c r="Q15" s="6">
        <v>0.69949598147391301</v>
      </c>
      <c r="R15" s="36">
        <v>0.86484210500000003</v>
      </c>
      <c r="S15">
        <v>579441</v>
      </c>
      <c r="T15">
        <v>321</v>
      </c>
      <c r="U15">
        <v>3128</v>
      </c>
      <c r="V15">
        <v>2054</v>
      </c>
      <c r="W15" s="4">
        <v>2</v>
      </c>
      <c r="X15" s="7">
        <v>0.78451157217632606</v>
      </c>
      <c r="Y15" s="36">
        <v>0.95582020745293905</v>
      </c>
      <c r="Z15">
        <v>342410</v>
      </c>
      <c r="AA15">
        <v>115</v>
      </c>
      <c r="AB15">
        <v>2957</v>
      </c>
      <c r="AC15">
        <v>2488</v>
      </c>
      <c r="AD15" s="1">
        <v>2</v>
      </c>
      <c r="AE15" s="39" t="s">
        <v>157</v>
      </c>
      <c r="AF15" s="42" t="s">
        <v>158</v>
      </c>
      <c r="AG15" s="39" t="s">
        <v>159</v>
      </c>
      <c r="AH15" s="1" t="s">
        <v>160</v>
      </c>
      <c r="AI15" s="1" t="s">
        <v>553</v>
      </c>
      <c r="AJ15" s="1">
        <v>2</v>
      </c>
      <c r="AL15" s="3" t="s">
        <v>155</v>
      </c>
      <c r="AM15" s="1" t="s">
        <v>365</v>
      </c>
      <c r="AN15" s="16" t="s">
        <v>156</v>
      </c>
      <c r="AO15" s="1" t="s">
        <v>365</v>
      </c>
      <c r="AP15" s="39" t="s">
        <v>407</v>
      </c>
      <c r="AQ15" s="49" t="s">
        <v>408</v>
      </c>
      <c r="AR15" s="51" t="s">
        <v>409</v>
      </c>
      <c r="AS15" s="1"/>
    </row>
    <row r="16" spans="1:45">
      <c r="A16" s="39">
        <v>30</v>
      </c>
      <c r="B16" s="39">
        <v>25</v>
      </c>
      <c r="C16" s="3">
        <v>14</v>
      </c>
      <c r="D16" s="3" t="s">
        <v>353</v>
      </c>
      <c r="E16" s="1" t="s">
        <v>167</v>
      </c>
      <c r="F16" s="23" t="s">
        <v>171</v>
      </c>
      <c r="G16" s="16" t="s">
        <v>172</v>
      </c>
      <c r="H16" s="17" t="s">
        <v>24</v>
      </c>
      <c r="I16" s="17" t="s">
        <v>24</v>
      </c>
      <c r="J16" s="17" t="s">
        <v>24</v>
      </c>
      <c r="K16" s="17" t="s">
        <v>24</v>
      </c>
      <c r="L16" s="17" t="s">
        <v>24</v>
      </c>
      <c r="M16" s="16" t="s">
        <v>347</v>
      </c>
      <c r="N16" s="4">
        <v>3032</v>
      </c>
      <c r="O16" s="1">
        <v>2510</v>
      </c>
      <c r="P16" s="2">
        <f t="shared" si="0"/>
        <v>1.2079681274900398</v>
      </c>
      <c r="Q16" s="6">
        <v>0.84204027355623101</v>
      </c>
      <c r="R16" s="36">
        <v>0.94610458900000005</v>
      </c>
      <c r="S16">
        <v>581811</v>
      </c>
      <c r="T16">
        <v>101</v>
      </c>
      <c r="U16">
        <v>1259</v>
      </c>
      <c r="V16">
        <v>1773</v>
      </c>
      <c r="W16" s="4">
        <v>2</v>
      </c>
      <c r="X16" s="7">
        <v>0.85643082907853096</v>
      </c>
      <c r="Y16" s="36">
        <v>0.98600419874037804</v>
      </c>
      <c r="Z16">
        <v>345440</v>
      </c>
      <c r="AA16">
        <v>20</v>
      </c>
      <c r="AB16">
        <v>1101</v>
      </c>
      <c r="AC16">
        <v>1409</v>
      </c>
      <c r="AD16" s="1">
        <v>2</v>
      </c>
      <c r="AE16" s="39" t="s">
        <v>173</v>
      </c>
      <c r="AF16" s="42" t="s">
        <v>173</v>
      </c>
      <c r="AG16" s="39" t="s">
        <v>174</v>
      </c>
      <c r="AH16" s="1" t="s">
        <v>175</v>
      </c>
      <c r="AI16" s="1" t="s">
        <v>587</v>
      </c>
      <c r="AJ16" s="1">
        <v>8</v>
      </c>
      <c r="AL16" s="3" t="s">
        <v>171</v>
      </c>
      <c r="AM16" s="1" t="s">
        <v>360</v>
      </c>
      <c r="AN16" s="16" t="s">
        <v>172</v>
      </c>
      <c r="AO16" s="1" t="s">
        <v>360</v>
      </c>
      <c r="AP16" s="39" t="s">
        <v>414</v>
      </c>
      <c r="AQ16" s="47" t="s">
        <v>415</v>
      </c>
      <c r="AR16" s="50" t="s">
        <v>416</v>
      </c>
      <c r="AS16" s="3" t="s">
        <v>417</v>
      </c>
    </row>
    <row r="17" spans="1:45" s="42" customFormat="1">
      <c r="A17" s="39">
        <v>31</v>
      </c>
      <c r="B17" s="39">
        <v>26</v>
      </c>
      <c r="C17" s="39">
        <v>15</v>
      </c>
      <c r="D17" s="39" t="s">
        <v>353</v>
      </c>
      <c r="E17" s="42" t="s">
        <v>167</v>
      </c>
      <c r="F17" s="39" t="s">
        <v>176</v>
      </c>
      <c r="G17" s="42" t="s">
        <v>177</v>
      </c>
      <c r="H17" s="55" t="s">
        <v>24</v>
      </c>
      <c r="I17" s="55" t="s">
        <v>24</v>
      </c>
      <c r="J17" s="55" t="s">
        <v>24</v>
      </c>
      <c r="K17" s="55" t="s">
        <v>24</v>
      </c>
      <c r="L17" s="55" t="s">
        <v>24</v>
      </c>
      <c r="M17" s="42" t="s">
        <v>347</v>
      </c>
      <c r="N17" s="56">
        <v>2996</v>
      </c>
      <c r="O17" s="42">
        <v>2916</v>
      </c>
      <c r="P17" s="7">
        <f t="shared" si="0"/>
        <v>1.0274348422496571</v>
      </c>
      <c r="Q17" s="6">
        <v>0.69080670508119402</v>
      </c>
      <c r="R17" s="57">
        <v>0.68752036500000002</v>
      </c>
      <c r="S17" s="58">
        <v>580989</v>
      </c>
      <c r="T17" s="58">
        <v>959</v>
      </c>
      <c r="U17" s="58">
        <v>886</v>
      </c>
      <c r="V17" s="58">
        <v>2110</v>
      </c>
      <c r="W17" s="56">
        <v>2</v>
      </c>
      <c r="X17" s="7">
        <v>0.79168170335618904</v>
      </c>
      <c r="Y17" s="57">
        <v>0.85945151811949105</v>
      </c>
      <c r="Z17" s="58">
        <v>344767</v>
      </c>
      <c r="AA17" s="58">
        <v>287</v>
      </c>
      <c r="AB17" s="58">
        <v>1161</v>
      </c>
      <c r="AC17" s="58">
        <v>1755</v>
      </c>
      <c r="AD17" s="42">
        <v>2</v>
      </c>
      <c r="AE17" s="39" t="s">
        <v>178</v>
      </c>
      <c r="AF17" s="42" t="s">
        <v>179</v>
      </c>
      <c r="AG17" s="39" t="s">
        <v>180</v>
      </c>
      <c r="AH17" s="42" t="s">
        <v>181</v>
      </c>
      <c r="AI17" s="42" t="s">
        <v>578</v>
      </c>
      <c r="AJ17" s="42">
        <v>7</v>
      </c>
      <c r="AL17" s="39" t="s">
        <v>176</v>
      </c>
      <c r="AM17" s="42" t="s">
        <v>365</v>
      </c>
      <c r="AN17" s="42" t="s">
        <v>177</v>
      </c>
      <c r="AO17" s="42" t="s">
        <v>365</v>
      </c>
      <c r="AP17" s="60" t="s">
        <v>478</v>
      </c>
      <c r="AQ17" s="47" t="s">
        <v>479</v>
      </c>
      <c r="AR17" s="47"/>
      <c r="AS17" s="59"/>
    </row>
    <row r="18" spans="1:45">
      <c r="A18" s="39">
        <v>33</v>
      </c>
      <c r="B18" s="39">
        <v>28</v>
      </c>
      <c r="C18" s="3">
        <v>16</v>
      </c>
      <c r="D18" s="3" t="s">
        <v>352</v>
      </c>
      <c r="E18" s="1" t="s">
        <v>188</v>
      </c>
      <c r="F18" s="23" t="s">
        <v>189</v>
      </c>
      <c r="G18" s="16" t="s">
        <v>190</v>
      </c>
      <c r="H18" s="17" t="s">
        <v>24</v>
      </c>
      <c r="I18" s="17" t="s">
        <v>24</v>
      </c>
      <c r="J18" s="17" t="s">
        <v>24</v>
      </c>
      <c r="K18" s="17" t="s">
        <v>24</v>
      </c>
      <c r="L18" s="17" t="s">
        <v>24</v>
      </c>
      <c r="M18" s="16" t="s">
        <v>347</v>
      </c>
      <c r="N18" s="4">
        <v>6557</v>
      </c>
      <c r="O18" s="1">
        <v>4609</v>
      </c>
      <c r="P18" s="2">
        <f t="shared" si="0"/>
        <v>1.4226513343458451</v>
      </c>
      <c r="Q18" s="6">
        <v>0.62982179111211301</v>
      </c>
      <c r="R18" s="36">
        <v>0.71553049700000004</v>
      </c>
      <c r="S18">
        <v>577277</v>
      </c>
      <c r="T18">
        <v>1110</v>
      </c>
      <c r="U18">
        <v>3765</v>
      </c>
      <c r="V18">
        <v>2792</v>
      </c>
      <c r="W18" s="4">
        <v>2</v>
      </c>
      <c r="X18" s="7">
        <v>0.71170825335892496</v>
      </c>
      <c r="Y18" s="36">
        <v>0.881178707224334</v>
      </c>
      <c r="Z18">
        <v>343111</v>
      </c>
      <c r="AA18">
        <v>250</v>
      </c>
      <c r="AB18">
        <v>2755</v>
      </c>
      <c r="AC18">
        <v>1854</v>
      </c>
      <c r="AD18" s="1">
        <v>2</v>
      </c>
      <c r="AE18" s="39" t="s">
        <v>191</v>
      </c>
      <c r="AF18" s="42" t="s">
        <v>192</v>
      </c>
      <c r="AG18" s="39" t="s">
        <v>193</v>
      </c>
      <c r="AH18" s="1" t="s">
        <v>194</v>
      </c>
      <c r="AI18" s="1" t="s">
        <v>566</v>
      </c>
      <c r="AJ18" s="1">
        <v>7</v>
      </c>
      <c r="AL18" s="3" t="s">
        <v>189</v>
      </c>
      <c r="AM18" s="1" t="s">
        <v>365</v>
      </c>
      <c r="AN18" s="16" t="s">
        <v>190</v>
      </c>
      <c r="AO18" s="1" t="s">
        <v>365</v>
      </c>
      <c r="AP18" s="39" t="s">
        <v>418</v>
      </c>
      <c r="AQ18" s="49" t="s">
        <v>419</v>
      </c>
      <c r="AR18" s="51" t="s">
        <v>420</v>
      </c>
      <c r="AS18" s="1"/>
    </row>
    <row r="19" spans="1:45">
      <c r="A19" s="39">
        <v>34</v>
      </c>
      <c r="B19" s="39">
        <v>29</v>
      </c>
      <c r="C19" s="3">
        <v>17</v>
      </c>
      <c r="D19" s="3" t="s">
        <v>352</v>
      </c>
      <c r="E19" s="1" t="s">
        <v>188</v>
      </c>
      <c r="F19" s="23" t="s">
        <v>195</v>
      </c>
      <c r="G19" s="16" t="s">
        <v>196</v>
      </c>
      <c r="H19" s="17" t="s">
        <v>24</v>
      </c>
      <c r="I19" s="17" t="s">
        <v>24</v>
      </c>
      <c r="J19" s="17" t="s">
        <v>24</v>
      </c>
      <c r="K19" s="17" t="s">
        <v>24</v>
      </c>
      <c r="L19" s="17" t="s">
        <v>24</v>
      </c>
      <c r="M19" s="16" t="s">
        <v>347</v>
      </c>
      <c r="N19" s="4">
        <v>7391</v>
      </c>
      <c r="O19" s="1">
        <v>4034</v>
      </c>
      <c r="P19" s="2">
        <f t="shared" si="0"/>
        <v>1.8321764997521071</v>
      </c>
      <c r="Q19" s="6">
        <v>0.70927107152886404</v>
      </c>
      <c r="R19" s="36">
        <v>0.80656934300000005</v>
      </c>
      <c r="S19">
        <v>576705</v>
      </c>
      <c r="T19">
        <v>848</v>
      </c>
      <c r="U19">
        <v>3855</v>
      </c>
      <c r="V19">
        <v>3536</v>
      </c>
      <c r="W19" s="4">
        <v>1</v>
      </c>
      <c r="X19" s="7">
        <v>0.83657890637170895</v>
      </c>
      <c r="Y19" s="36">
        <v>0.97592003634711499</v>
      </c>
      <c r="Z19">
        <v>343883</v>
      </c>
      <c r="AA19">
        <v>53</v>
      </c>
      <c r="AB19">
        <v>1886</v>
      </c>
      <c r="AC19">
        <v>2148</v>
      </c>
      <c r="AD19" s="1">
        <v>2</v>
      </c>
      <c r="AE19" s="39" t="s">
        <v>197</v>
      </c>
      <c r="AF19" s="42" t="s">
        <v>198</v>
      </c>
      <c r="AG19" s="39" t="s">
        <v>199</v>
      </c>
      <c r="AH19" s="1" t="s">
        <v>200</v>
      </c>
      <c r="AI19" s="1" t="s">
        <v>563</v>
      </c>
      <c r="AJ19" s="1">
        <v>6</v>
      </c>
      <c r="AL19" s="3" t="s">
        <v>195</v>
      </c>
      <c r="AM19" s="1" t="s">
        <v>365</v>
      </c>
      <c r="AN19" s="16" t="s">
        <v>196</v>
      </c>
      <c r="AO19" s="1" t="s">
        <v>365</v>
      </c>
      <c r="AP19" s="39" t="s">
        <v>421</v>
      </c>
      <c r="AQ19" s="47" t="s">
        <v>422</v>
      </c>
      <c r="AR19" s="52" t="s">
        <v>423</v>
      </c>
      <c r="AS19" s="11"/>
    </row>
    <row r="20" spans="1:45">
      <c r="A20" s="39">
        <v>35</v>
      </c>
      <c r="B20" s="39">
        <v>30</v>
      </c>
      <c r="C20" s="3">
        <v>18</v>
      </c>
      <c r="D20" s="3" t="s">
        <v>352</v>
      </c>
      <c r="E20" s="1" t="s">
        <v>188</v>
      </c>
      <c r="F20" s="23" t="s">
        <v>201</v>
      </c>
      <c r="G20" s="16" t="s">
        <v>202</v>
      </c>
      <c r="H20" s="17" t="s">
        <v>24</v>
      </c>
      <c r="I20" s="17" t="s">
        <v>24</v>
      </c>
      <c r="J20" s="17" t="s">
        <v>24</v>
      </c>
      <c r="K20" s="17" t="s">
        <v>24</v>
      </c>
      <c r="L20" s="17" t="s">
        <v>24</v>
      </c>
      <c r="M20" s="16" t="s">
        <v>347</v>
      </c>
      <c r="N20" s="4">
        <v>6418</v>
      </c>
      <c r="O20" s="1">
        <v>4776</v>
      </c>
      <c r="P20" s="2">
        <f t="shared" si="0"/>
        <v>1.3438023450586265</v>
      </c>
      <c r="Q20" s="6">
        <v>0.73585057563803202</v>
      </c>
      <c r="R20" s="36">
        <v>0.793747286</v>
      </c>
      <c r="S20">
        <v>577576</v>
      </c>
      <c r="T20">
        <v>950</v>
      </c>
      <c r="U20">
        <v>2762</v>
      </c>
      <c r="V20">
        <v>3656</v>
      </c>
      <c r="W20" s="4">
        <v>2</v>
      </c>
      <c r="X20" s="7">
        <v>0.67746350364963503</v>
      </c>
      <c r="Y20" s="36">
        <v>0.85100286532951297</v>
      </c>
      <c r="Z20">
        <v>342882</v>
      </c>
      <c r="AA20">
        <v>312</v>
      </c>
      <c r="AB20">
        <v>2994</v>
      </c>
      <c r="AC20">
        <v>1782</v>
      </c>
      <c r="AD20" s="1">
        <v>2</v>
      </c>
      <c r="AE20" s="39" t="s">
        <v>203</v>
      </c>
      <c r="AF20" s="42" t="s">
        <v>204</v>
      </c>
      <c r="AG20" s="39" t="s">
        <v>205</v>
      </c>
      <c r="AH20" s="1" t="s">
        <v>206</v>
      </c>
      <c r="AI20" s="1" t="s">
        <v>565</v>
      </c>
      <c r="AJ20" s="1">
        <v>5</v>
      </c>
      <c r="AL20" s="3" t="s">
        <v>201</v>
      </c>
      <c r="AM20" s="1" t="s">
        <v>360</v>
      </c>
      <c r="AN20" s="16" t="s">
        <v>202</v>
      </c>
      <c r="AO20" s="1" t="s">
        <v>360</v>
      </c>
      <c r="AP20" s="39" t="s">
        <v>424</v>
      </c>
      <c r="AQ20" s="47" t="s">
        <v>425</v>
      </c>
      <c r="AR20" s="50" t="s">
        <v>426</v>
      </c>
      <c r="AS20" s="3" t="s">
        <v>427</v>
      </c>
    </row>
    <row r="21" spans="1:45">
      <c r="A21" s="39">
        <v>37</v>
      </c>
      <c r="B21" s="39">
        <v>31</v>
      </c>
      <c r="C21" s="3">
        <v>19</v>
      </c>
      <c r="D21" s="3" t="s">
        <v>352</v>
      </c>
      <c r="E21" s="1" t="s">
        <v>207</v>
      </c>
      <c r="F21" s="23" t="s">
        <v>211</v>
      </c>
      <c r="G21" s="16" t="s">
        <v>212</v>
      </c>
      <c r="H21" s="17" t="s">
        <v>24</v>
      </c>
      <c r="I21" s="17" t="s">
        <v>24</v>
      </c>
      <c r="J21" s="17" t="s">
        <v>24</v>
      </c>
      <c r="K21" s="17" t="s">
        <v>24</v>
      </c>
      <c r="L21" s="17" t="s">
        <v>24</v>
      </c>
      <c r="M21" s="16" t="s">
        <v>347</v>
      </c>
      <c r="N21" s="4">
        <v>7157</v>
      </c>
      <c r="O21" s="1">
        <v>7047</v>
      </c>
      <c r="P21" s="2">
        <f t="shared" si="0"/>
        <v>1.0156094792110117</v>
      </c>
      <c r="Q21" s="6">
        <v>0.83469624431294398</v>
      </c>
      <c r="R21" s="36">
        <v>0.84829253599999999</v>
      </c>
      <c r="S21">
        <v>576783</v>
      </c>
      <c r="T21">
        <v>1004</v>
      </c>
      <c r="U21">
        <v>1543</v>
      </c>
      <c r="V21">
        <v>5614</v>
      </c>
      <c r="W21" s="4">
        <v>1</v>
      </c>
      <c r="X21" s="7">
        <v>0.85210132650109505</v>
      </c>
      <c r="Y21" s="36">
        <v>0.96175373134328401</v>
      </c>
      <c r="Z21">
        <v>340759</v>
      </c>
      <c r="AA21">
        <v>164</v>
      </c>
      <c r="AB21">
        <v>2923</v>
      </c>
      <c r="AC21">
        <v>4124</v>
      </c>
      <c r="AD21" s="1">
        <v>2</v>
      </c>
      <c r="AE21" s="39" t="s">
        <v>213</v>
      </c>
      <c r="AF21" s="42" t="s">
        <v>214</v>
      </c>
      <c r="AG21" s="39" t="s">
        <v>215</v>
      </c>
      <c r="AH21" s="1" t="s">
        <v>216</v>
      </c>
      <c r="AI21" s="1" t="s">
        <v>586</v>
      </c>
      <c r="AJ21" s="1">
        <v>8</v>
      </c>
      <c r="AL21" s="3" t="s">
        <v>211</v>
      </c>
      <c r="AM21" s="1" t="s">
        <v>365</v>
      </c>
      <c r="AN21" s="16" t="s">
        <v>212</v>
      </c>
      <c r="AO21" s="1" t="s">
        <v>365</v>
      </c>
      <c r="AP21" s="39" t="s">
        <v>428</v>
      </c>
      <c r="AQ21" s="47" t="s">
        <v>429</v>
      </c>
      <c r="AR21" s="51" t="s">
        <v>430</v>
      </c>
      <c r="AS21" s="11"/>
    </row>
    <row r="22" spans="1:45">
      <c r="A22" s="39">
        <v>38</v>
      </c>
      <c r="B22" s="39">
        <v>32</v>
      </c>
      <c r="C22" s="3">
        <v>20</v>
      </c>
      <c r="D22" s="3" t="s">
        <v>352</v>
      </c>
      <c r="E22" s="1" t="s">
        <v>207</v>
      </c>
      <c r="F22" s="23" t="s">
        <v>217</v>
      </c>
      <c r="G22" s="16" t="s">
        <v>218</v>
      </c>
      <c r="H22" s="17" t="s">
        <v>24</v>
      </c>
      <c r="I22" s="17" t="s">
        <v>24</v>
      </c>
      <c r="J22" s="17" t="s">
        <v>24</v>
      </c>
      <c r="K22" s="17" t="s">
        <v>24</v>
      </c>
      <c r="L22" s="17" t="s">
        <v>24</v>
      </c>
      <c r="M22" s="16" t="s">
        <v>347</v>
      </c>
      <c r="N22" s="4">
        <v>16048</v>
      </c>
      <c r="O22" s="1">
        <v>15066</v>
      </c>
      <c r="P22" s="2">
        <f t="shared" si="0"/>
        <v>1.0651798752157176</v>
      </c>
      <c r="Q22" s="6">
        <v>0.78139526567975404</v>
      </c>
      <c r="R22" s="36">
        <v>0.87664226300000003</v>
      </c>
      <c r="S22">
        <v>567666</v>
      </c>
      <c r="T22">
        <v>1230</v>
      </c>
      <c r="U22">
        <v>7307</v>
      </c>
      <c r="V22">
        <v>8741</v>
      </c>
      <c r="W22" s="4">
        <v>2</v>
      </c>
      <c r="X22" s="7">
        <v>0.79642521166509905</v>
      </c>
      <c r="Y22" s="36">
        <v>0.889192311731961</v>
      </c>
      <c r="Z22">
        <v>331849</v>
      </c>
      <c r="AA22">
        <v>1055</v>
      </c>
      <c r="AB22">
        <v>6600</v>
      </c>
      <c r="AC22">
        <v>8466</v>
      </c>
      <c r="AD22" s="1">
        <v>2</v>
      </c>
      <c r="AE22" s="39" t="s">
        <v>219</v>
      </c>
      <c r="AF22" s="42" t="s">
        <v>220</v>
      </c>
      <c r="AG22" s="39" t="s">
        <v>221</v>
      </c>
      <c r="AH22" s="1" t="s">
        <v>222</v>
      </c>
      <c r="AI22" s="1" t="s">
        <v>564</v>
      </c>
      <c r="AJ22" s="1">
        <v>6</v>
      </c>
      <c r="AL22" s="3" t="s">
        <v>217</v>
      </c>
      <c r="AM22" s="1" t="s">
        <v>365</v>
      </c>
      <c r="AN22" s="16" t="s">
        <v>218</v>
      </c>
      <c r="AO22" s="1" t="s">
        <v>365</v>
      </c>
      <c r="AP22" s="39" t="s">
        <v>431</v>
      </c>
      <c r="AQ22" s="47" t="s">
        <v>432</v>
      </c>
      <c r="AR22" s="51" t="s">
        <v>433</v>
      </c>
      <c r="AS22" s="11"/>
    </row>
    <row r="23" spans="1:45" ht="17" customHeight="1">
      <c r="A23" s="39">
        <v>39</v>
      </c>
      <c r="B23" s="39">
        <v>34</v>
      </c>
      <c r="C23" s="3">
        <v>21</v>
      </c>
      <c r="D23" s="3" t="s">
        <v>354</v>
      </c>
      <c r="E23" s="1" t="s">
        <v>223</v>
      </c>
      <c r="F23" s="23" t="s">
        <v>224</v>
      </c>
      <c r="G23" s="23" t="s">
        <v>225</v>
      </c>
      <c r="H23" s="17" t="s">
        <v>24</v>
      </c>
      <c r="I23" s="17" t="s">
        <v>24</v>
      </c>
      <c r="J23" s="17" t="s">
        <v>24</v>
      </c>
      <c r="K23" s="17" t="s">
        <v>24</v>
      </c>
      <c r="L23" s="17" t="s">
        <v>24</v>
      </c>
      <c r="M23" s="16" t="s">
        <v>347</v>
      </c>
      <c r="N23" s="4">
        <v>41158</v>
      </c>
      <c r="O23" s="1">
        <v>20167</v>
      </c>
      <c r="P23" s="2">
        <f t="shared" si="0"/>
        <v>2.0408588287796894</v>
      </c>
      <c r="Q23" s="6">
        <v>0.62436234033001803</v>
      </c>
      <c r="R23" s="36">
        <v>0.69368246099999997</v>
      </c>
      <c r="S23">
        <v>535679</v>
      </c>
      <c r="T23">
        <v>8107</v>
      </c>
      <c r="U23">
        <v>22799</v>
      </c>
      <c r="V23">
        <v>18359</v>
      </c>
      <c r="W23" s="4">
        <v>3</v>
      </c>
      <c r="X23" s="7">
        <v>0.78255855855855905</v>
      </c>
      <c r="Y23" s="36">
        <v>0.88262071207933701</v>
      </c>
      <c r="Z23">
        <v>326359</v>
      </c>
      <c r="AA23">
        <v>1444</v>
      </c>
      <c r="AB23">
        <v>9309</v>
      </c>
      <c r="AC23">
        <v>10858</v>
      </c>
      <c r="AD23" s="1">
        <v>2</v>
      </c>
      <c r="AE23" s="39" t="s">
        <v>226</v>
      </c>
      <c r="AF23" s="42" t="s">
        <v>227</v>
      </c>
      <c r="AG23" s="39" t="s">
        <v>228</v>
      </c>
      <c r="AH23" s="1" t="s">
        <v>229</v>
      </c>
      <c r="AI23" s="1" t="s">
        <v>580</v>
      </c>
      <c r="AJ23" s="1">
        <v>4</v>
      </c>
      <c r="AL23" s="3" t="s">
        <v>224</v>
      </c>
      <c r="AM23" s="1" t="s">
        <v>360</v>
      </c>
      <c r="AN23" s="23" t="s">
        <v>225</v>
      </c>
      <c r="AO23" s="1" t="s">
        <v>360</v>
      </c>
      <c r="AP23" s="39" t="s">
        <v>512</v>
      </c>
      <c r="AQ23" s="47" t="s">
        <v>513</v>
      </c>
      <c r="AR23" s="50" t="s">
        <v>514</v>
      </c>
      <c r="AS23" s="3" t="s">
        <v>427</v>
      </c>
    </row>
    <row r="24" spans="1:45">
      <c r="A24" s="39">
        <v>45</v>
      </c>
      <c r="B24" s="39">
        <v>38</v>
      </c>
      <c r="C24" s="3">
        <v>22</v>
      </c>
      <c r="D24" s="3" t="s">
        <v>354</v>
      </c>
      <c r="E24" s="1" t="s">
        <v>241</v>
      </c>
      <c r="F24" s="23" t="s">
        <v>250</v>
      </c>
      <c r="G24" s="16" t="s">
        <v>251</v>
      </c>
      <c r="H24" s="17" t="s">
        <v>24</v>
      </c>
      <c r="I24" s="17" t="s">
        <v>24</v>
      </c>
      <c r="J24" s="17" t="s">
        <v>24</v>
      </c>
      <c r="K24" s="17" t="s">
        <v>24</v>
      </c>
      <c r="L24" s="17" t="s">
        <v>24</v>
      </c>
      <c r="M24" s="16" t="s">
        <v>347</v>
      </c>
      <c r="N24" s="4">
        <v>1417</v>
      </c>
      <c r="O24" s="1">
        <v>4333</v>
      </c>
      <c r="P24" s="2">
        <f t="shared" si="0"/>
        <v>0.32702515578121394</v>
      </c>
      <c r="Q24" s="6">
        <v>0.75290189219271697</v>
      </c>
      <c r="R24" s="36">
        <v>0.777504105</v>
      </c>
      <c r="S24">
        <v>583256</v>
      </c>
      <c r="T24">
        <v>271</v>
      </c>
      <c r="U24">
        <v>470</v>
      </c>
      <c r="V24">
        <v>947</v>
      </c>
      <c r="W24" s="4">
        <v>2</v>
      </c>
      <c r="X24" s="7">
        <v>0.83707403426692795</v>
      </c>
      <c r="Y24" s="36">
        <v>0.92232671543016398</v>
      </c>
      <c r="Z24">
        <v>343414</v>
      </c>
      <c r="AA24">
        <v>223</v>
      </c>
      <c r="AB24">
        <v>1685</v>
      </c>
      <c r="AC24">
        <v>2648</v>
      </c>
      <c r="AD24" s="1">
        <v>1</v>
      </c>
      <c r="AE24" s="39" t="s">
        <v>252</v>
      </c>
      <c r="AF24" s="42" t="s">
        <v>253</v>
      </c>
      <c r="AG24" s="39" t="s">
        <v>254</v>
      </c>
      <c r="AH24" s="1" t="s">
        <v>255</v>
      </c>
      <c r="AI24" s="1" t="s">
        <v>577</v>
      </c>
      <c r="AJ24" s="1">
        <v>5</v>
      </c>
      <c r="AL24" s="3" t="s">
        <v>250</v>
      </c>
      <c r="AM24" s="1" t="s">
        <v>360</v>
      </c>
      <c r="AN24" s="16" t="s">
        <v>251</v>
      </c>
      <c r="AO24" s="1" t="s">
        <v>360</v>
      </c>
      <c r="AP24" s="39" t="s">
        <v>440</v>
      </c>
      <c r="AQ24" s="47" t="s">
        <v>441</v>
      </c>
      <c r="AR24" s="50" t="s">
        <v>442</v>
      </c>
      <c r="AS24" s="3" t="s">
        <v>427</v>
      </c>
    </row>
    <row r="25" spans="1:45">
      <c r="A25" s="39">
        <v>46</v>
      </c>
      <c r="B25" s="39">
        <v>39</v>
      </c>
      <c r="C25" s="3">
        <v>23</v>
      </c>
      <c r="D25" s="3" t="s">
        <v>354</v>
      </c>
      <c r="E25" s="1" t="s">
        <v>256</v>
      </c>
      <c r="F25" s="23" t="s">
        <v>257</v>
      </c>
      <c r="G25" s="16" t="s">
        <v>258</v>
      </c>
      <c r="H25" s="17" t="s">
        <v>24</v>
      </c>
      <c r="I25" s="17" t="s">
        <v>24</v>
      </c>
      <c r="J25" s="17" t="s">
        <v>24</v>
      </c>
      <c r="K25" s="17" t="s">
        <v>24</v>
      </c>
      <c r="L25" s="17" t="s">
        <v>24</v>
      </c>
      <c r="M25" s="16" t="s">
        <v>347</v>
      </c>
      <c r="N25" s="4">
        <v>61429</v>
      </c>
      <c r="O25" s="1">
        <v>59053</v>
      </c>
      <c r="P25" s="2">
        <f t="shared" si="0"/>
        <v>1.040235043096879</v>
      </c>
      <c r="Q25" s="6">
        <v>0.95195926134808195</v>
      </c>
      <c r="R25" s="36">
        <v>0.95506510300000003</v>
      </c>
      <c r="S25">
        <v>520799</v>
      </c>
      <c r="T25">
        <v>2716</v>
      </c>
      <c r="U25">
        <v>3702</v>
      </c>
      <c r="V25">
        <v>57727</v>
      </c>
      <c r="W25" s="4">
        <v>1</v>
      </c>
      <c r="X25" s="7">
        <v>0.96589956834425195</v>
      </c>
      <c r="Y25" s="36">
        <v>0.99058477521867005</v>
      </c>
      <c r="Z25">
        <v>288424</v>
      </c>
      <c r="AA25">
        <v>493</v>
      </c>
      <c r="AB25">
        <v>7184</v>
      </c>
      <c r="AC25">
        <v>51869</v>
      </c>
      <c r="AD25" s="1">
        <v>2</v>
      </c>
      <c r="AE25" s="39" t="s">
        <v>259</v>
      </c>
      <c r="AF25" s="42" t="s">
        <v>260</v>
      </c>
      <c r="AG25" s="39" t="s">
        <v>261</v>
      </c>
      <c r="AH25" s="1" t="s">
        <v>262</v>
      </c>
      <c r="AI25" s="1" t="s">
        <v>584</v>
      </c>
      <c r="AJ25" s="1">
        <v>9</v>
      </c>
      <c r="AL25" s="3" t="s">
        <v>257</v>
      </c>
      <c r="AM25" s="1" t="s">
        <v>360</v>
      </c>
      <c r="AN25" s="16" t="s">
        <v>258</v>
      </c>
      <c r="AO25" s="1" t="s">
        <v>360</v>
      </c>
      <c r="AP25" s="39" t="s">
        <v>443</v>
      </c>
      <c r="AQ25" s="47" t="s">
        <v>438</v>
      </c>
      <c r="AR25" s="50" t="s">
        <v>439</v>
      </c>
      <c r="AS25" s="3" t="s">
        <v>427</v>
      </c>
    </row>
    <row r="26" spans="1:45">
      <c r="A26" s="39">
        <v>55</v>
      </c>
      <c r="B26" s="39">
        <v>43</v>
      </c>
      <c r="C26" s="3">
        <v>24</v>
      </c>
      <c r="D26" s="3" t="s">
        <v>354</v>
      </c>
      <c r="E26" s="1" t="s">
        <v>270</v>
      </c>
      <c r="F26" s="23" t="s">
        <v>289</v>
      </c>
      <c r="G26" s="16" t="s">
        <v>290</v>
      </c>
      <c r="H26" s="17" t="s">
        <v>24</v>
      </c>
      <c r="I26" s="17" t="s">
        <v>24</v>
      </c>
      <c r="J26" s="17" t="s">
        <v>24</v>
      </c>
      <c r="K26" s="17" t="s">
        <v>24</v>
      </c>
      <c r="L26" s="17" t="s">
        <v>24</v>
      </c>
      <c r="M26" s="16" t="s">
        <v>347</v>
      </c>
      <c r="N26" s="4">
        <v>1274</v>
      </c>
      <c r="O26" s="1">
        <v>1009</v>
      </c>
      <c r="P26" s="2">
        <f t="shared" si="0"/>
        <v>1.2626362735381567</v>
      </c>
      <c r="Q26" s="6">
        <v>0.46224961479198701</v>
      </c>
      <c r="R26" s="36">
        <v>0.54961832099999997</v>
      </c>
      <c r="S26">
        <v>583375</v>
      </c>
      <c r="T26">
        <v>295</v>
      </c>
      <c r="U26">
        <v>914</v>
      </c>
      <c r="V26">
        <v>360</v>
      </c>
      <c r="W26" s="4">
        <v>2</v>
      </c>
      <c r="X26" s="7">
        <v>0.63121487246000896</v>
      </c>
      <c r="Y26" s="36">
        <v>0.89570552147239302</v>
      </c>
      <c r="Z26">
        <v>346927</v>
      </c>
      <c r="AA26">
        <v>34</v>
      </c>
      <c r="AB26">
        <v>717</v>
      </c>
      <c r="AC26">
        <v>292</v>
      </c>
      <c r="AD26" s="1">
        <v>2</v>
      </c>
      <c r="AE26" s="39" t="s">
        <v>291</v>
      </c>
      <c r="AF26" s="42" t="s">
        <v>292</v>
      </c>
      <c r="AG26" s="39" t="s">
        <v>293</v>
      </c>
      <c r="AH26" s="1" t="s">
        <v>294</v>
      </c>
      <c r="AI26" s="1" t="s">
        <v>575</v>
      </c>
      <c r="AJ26" s="1">
        <v>5</v>
      </c>
      <c r="AL26" s="3" t="s">
        <v>289</v>
      </c>
      <c r="AM26" s="1" t="s">
        <v>365</v>
      </c>
      <c r="AN26" s="16" t="s">
        <v>290</v>
      </c>
      <c r="AO26" s="1" t="s">
        <v>365</v>
      </c>
      <c r="AP26" s="39" t="s">
        <v>444</v>
      </c>
      <c r="AQ26" s="47" t="s">
        <v>445</v>
      </c>
      <c r="AR26" s="51" t="s">
        <v>446</v>
      </c>
      <c r="AS26" s="11"/>
    </row>
    <row r="27" spans="1:45">
      <c r="A27" s="39">
        <v>56</v>
      </c>
      <c r="B27" s="39">
        <v>44</v>
      </c>
      <c r="C27" s="3">
        <v>25</v>
      </c>
      <c r="D27" s="3" t="s">
        <v>354</v>
      </c>
      <c r="E27" s="1" t="s">
        <v>295</v>
      </c>
      <c r="F27" s="23" t="s">
        <v>295</v>
      </c>
      <c r="G27" s="16" t="s">
        <v>296</v>
      </c>
      <c r="H27" s="17" t="s">
        <v>24</v>
      </c>
      <c r="I27" s="17" t="s">
        <v>24</v>
      </c>
      <c r="J27" s="17" t="s">
        <v>24</v>
      </c>
      <c r="K27" s="17" t="s">
        <v>24</v>
      </c>
      <c r="L27" s="17" t="s">
        <v>24</v>
      </c>
      <c r="M27" s="16" t="s">
        <v>347</v>
      </c>
      <c r="N27" s="4">
        <v>7937</v>
      </c>
      <c r="O27" s="1">
        <v>12039</v>
      </c>
      <c r="P27" s="2">
        <f t="shared" si="0"/>
        <v>0.65927402608190044</v>
      </c>
      <c r="Q27" s="6">
        <v>0.85113969520086596</v>
      </c>
      <c r="R27" s="36">
        <v>0.86151584000000003</v>
      </c>
      <c r="S27">
        <v>575971</v>
      </c>
      <c r="T27">
        <v>1036</v>
      </c>
      <c r="U27">
        <v>1492</v>
      </c>
      <c r="V27">
        <v>6445</v>
      </c>
      <c r="W27" s="4">
        <v>1</v>
      </c>
      <c r="X27" s="7">
        <v>0.87325339789168699</v>
      </c>
      <c r="Y27" s="36">
        <v>0.90667986145472501</v>
      </c>
      <c r="Z27">
        <v>334988</v>
      </c>
      <c r="AA27">
        <v>943</v>
      </c>
      <c r="AB27">
        <v>2877</v>
      </c>
      <c r="AC27">
        <v>9162</v>
      </c>
      <c r="AD27" s="1">
        <v>1</v>
      </c>
      <c r="AE27" s="39" t="s">
        <v>297</v>
      </c>
      <c r="AF27" s="42" t="s">
        <v>298</v>
      </c>
      <c r="AG27" s="39" t="s">
        <v>299</v>
      </c>
      <c r="AH27" s="1" t="s">
        <v>300</v>
      </c>
      <c r="AI27" s="1" t="s">
        <v>551</v>
      </c>
      <c r="AJ27" s="1">
        <v>4</v>
      </c>
      <c r="AL27" s="3" t="s">
        <v>295</v>
      </c>
      <c r="AM27" s="1" t="s">
        <v>360</v>
      </c>
      <c r="AN27" s="16" t="s">
        <v>296</v>
      </c>
      <c r="AO27" s="1" t="s">
        <v>360</v>
      </c>
      <c r="AP27" s="39" t="s">
        <v>447</v>
      </c>
      <c r="AQ27" s="47" t="s">
        <v>448</v>
      </c>
      <c r="AR27" s="50" t="s">
        <v>449</v>
      </c>
      <c r="AS27" s="3" t="s">
        <v>427</v>
      </c>
    </row>
    <row r="28" spans="1:45">
      <c r="A28" s="39">
        <v>57</v>
      </c>
      <c r="B28" s="39">
        <v>45</v>
      </c>
      <c r="C28" s="3">
        <v>26</v>
      </c>
      <c r="D28" s="3" t="s">
        <v>354</v>
      </c>
      <c r="E28" s="1" t="s">
        <v>607</v>
      </c>
      <c r="F28" s="23" t="s">
        <v>301</v>
      </c>
      <c r="G28" s="16" t="s">
        <v>301</v>
      </c>
      <c r="H28" s="17" t="s">
        <v>24</v>
      </c>
      <c r="I28" s="17" t="s">
        <v>24</v>
      </c>
      <c r="J28" s="17" t="s">
        <v>24</v>
      </c>
      <c r="K28" s="17" t="s">
        <v>24</v>
      </c>
      <c r="L28" s="17" t="s">
        <v>24</v>
      </c>
      <c r="M28" s="16" t="s">
        <v>347</v>
      </c>
      <c r="N28" s="4">
        <v>561</v>
      </c>
      <c r="O28" s="1">
        <v>159</v>
      </c>
      <c r="P28" s="2">
        <f t="shared" si="0"/>
        <v>3.5283018867924527</v>
      </c>
      <c r="Q28" s="6">
        <v>0.81591024987251404</v>
      </c>
      <c r="R28" s="36">
        <v>0.91428571400000003</v>
      </c>
      <c r="S28">
        <v>584353</v>
      </c>
      <c r="T28">
        <v>30</v>
      </c>
      <c r="U28">
        <v>241</v>
      </c>
      <c r="V28">
        <v>320</v>
      </c>
      <c r="W28" s="4">
        <v>2</v>
      </c>
      <c r="X28" s="7">
        <v>0.93700787401574803</v>
      </c>
      <c r="Y28" s="36">
        <v>1</v>
      </c>
      <c r="Z28">
        <v>347811</v>
      </c>
      <c r="AA28">
        <v>0</v>
      </c>
      <c r="AB28">
        <v>40</v>
      </c>
      <c r="AC28">
        <v>119</v>
      </c>
      <c r="AD28" s="1">
        <v>2</v>
      </c>
      <c r="AE28" s="39" t="s">
        <v>302</v>
      </c>
      <c r="AF28" s="42" t="s">
        <v>302</v>
      </c>
      <c r="AG28" s="39" t="s">
        <v>303</v>
      </c>
      <c r="AH28" s="1" t="s">
        <v>304</v>
      </c>
      <c r="AI28" s="1" t="s">
        <v>585</v>
      </c>
      <c r="AJ28" s="1">
        <v>7</v>
      </c>
      <c r="AL28" s="3" t="s">
        <v>301</v>
      </c>
      <c r="AM28" s="1" t="s">
        <v>360</v>
      </c>
      <c r="AN28" s="16" t="s">
        <v>301</v>
      </c>
      <c r="AO28" s="1" t="s">
        <v>360</v>
      </c>
      <c r="AP28" s="39" t="s">
        <v>450</v>
      </c>
      <c r="AQ28" s="47" t="s">
        <v>451</v>
      </c>
      <c r="AR28" s="50" t="s">
        <v>452</v>
      </c>
      <c r="AS28" s="3" t="s">
        <v>427</v>
      </c>
    </row>
    <row r="29" spans="1:45">
      <c r="A29" s="39">
        <v>58</v>
      </c>
      <c r="B29" s="39">
        <v>46</v>
      </c>
      <c r="C29" s="3">
        <v>27</v>
      </c>
      <c r="D29" s="3" t="s">
        <v>354</v>
      </c>
      <c r="E29" s="1" t="s">
        <v>607</v>
      </c>
      <c r="F29" s="23" t="s">
        <v>305</v>
      </c>
      <c r="G29" s="16" t="s">
        <v>333</v>
      </c>
      <c r="H29" s="17" t="s">
        <v>24</v>
      </c>
      <c r="I29" s="17" t="s">
        <v>24</v>
      </c>
      <c r="J29" s="17" t="s">
        <v>24</v>
      </c>
      <c r="K29" s="17" t="s">
        <v>24</v>
      </c>
      <c r="L29" s="18" t="s">
        <v>24</v>
      </c>
      <c r="M29" s="16" t="s">
        <v>347</v>
      </c>
      <c r="N29" s="4">
        <v>159</v>
      </c>
      <c r="O29" s="1">
        <v>1155</v>
      </c>
      <c r="P29" s="7">
        <f t="shared" si="0"/>
        <v>0.13766233766233765</v>
      </c>
      <c r="Q29" s="6">
        <v>0.93883357041251703</v>
      </c>
      <c r="R29" s="36">
        <v>0.97058823500000002</v>
      </c>
      <c r="S29">
        <v>584781</v>
      </c>
      <c r="T29">
        <v>4</v>
      </c>
      <c r="U29">
        <v>27</v>
      </c>
      <c r="V29">
        <v>132</v>
      </c>
      <c r="W29" s="4">
        <v>2</v>
      </c>
      <c r="X29" s="7">
        <v>0.97741644083107504</v>
      </c>
      <c r="Y29" s="36">
        <v>0.988127853881278</v>
      </c>
      <c r="Z29">
        <v>346802</v>
      </c>
      <c r="AA29">
        <v>13</v>
      </c>
      <c r="AB29">
        <v>73</v>
      </c>
      <c r="AC29">
        <v>1082</v>
      </c>
      <c r="AD29" s="1">
        <v>2</v>
      </c>
      <c r="AE29" s="39" t="s">
        <v>337</v>
      </c>
      <c r="AF29" s="42" t="s">
        <v>338</v>
      </c>
      <c r="AG29" s="39" t="s">
        <v>339</v>
      </c>
      <c r="AH29" s="1" t="s">
        <v>340</v>
      </c>
      <c r="AI29" s="1" t="s">
        <v>572</v>
      </c>
      <c r="AJ29" s="1">
        <v>7</v>
      </c>
      <c r="AL29" s="3" t="s">
        <v>305</v>
      </c>
      <c r="AM29" s="1" t="s">
        <v>360</v>
      </c>
      <c r="AN29" s="16" t="s">
        <v>333</v>
      </c>
      <c r="AO29" s="1" t="s">
        <v>360</v>
      </c>
      <c r="AP29" s="39" t="s">
        <v>522</v>
      </c>
      <c r="AQ29" s="47" t="s">
        <v>523</v>
      </c>
      <c r="AR29" s="50" t="s">
        <v>524</v>
      </c>
      <c r="AS29" s="3" t="s">
        <v>427</v>
      </c>
    </row>
    <row r="30" spans="1:45">
      <c r="A30" s="39">
        <v>61</v>
      </c>
      <c r="B30" s="39">
        <v>48</v>
      </c>
      <c r="C30" s="3">
        <v>28</v>
      </c>
      <c r="D30" s="3" t="s">
        <v>354</v>
      </c>
      <c r="E30" s="1" t="s">
        <v>607</v>
      </c>
      <c r="F30" s="23" t="s">
        <v>315</v>
      </c>
      <c r="G30" s="16" t="s">
        <v>316</v>
      </c>
      <c r="H30" s="17" t="s">
        <v>24</v>
      </c>
      <c r="I30" s="17" t="s">
        <v>24</v>
      </c>
      <c r="J30" s="17" t="s">
        <v>24</v>
      </c>
      <c r="K30" s="17" t="s">
        <v>24</v>
      </c>
      <c r="L30" s="17" t="s">
        <v>24</v>
      </c>
      <c r="M30" s="16" t="s">
        <v>347</v>
      </c>
      <c r="N30" s="4">
        <v>35225</v>
      </c>
      <c r="O30" s="1">
        <v>13410</v>
      </c>
      <c r="P30" s="2">
        <f t="shared" si="0"/>
        <v>2.6267710663683816</v>
      </c>
      <c r="Q30" s="6">
        <v>0.85841999635102995</v>
      </c>
      <c r="R30" s="36">
        <v>0.92436149300000003</v>
      </c>
      <c r="S30">
        <v>547794</v>
      </c>
      <c r="T30">
        <v>1925</v>
      </c>
      <c r="U30">
        <v>11700</v>
      </c>
      <c r="V30">
        <v>23525</v>
      </c>
      <c r="W30" s="4">
        <v>2</v>
      </c>
      <c r="X30" s="7">
        <v>0.95584016739225797</v>
      </c>
      <c r="Y30" s="36">
        <v>0.98831021547587905</v>
      </c>
      <c r="Z30">
        <v>334426</v>
      </c>
      <c r="AA30">
        <v>134</v>
      </c>
      <c r="AB30">
        <v>2081</v>
      </c>
      <c r="AC30">
        <v>11329</v>
      </c>
      <c r="AD30" s="1">
        <v>2</v>
      </c>
      <c r="AE30" s="39" t="s">
        <v>317</v>
      </c>
      <c r="AF30" s="42" t="s">
        <v>318</v>
      </c>
      <c r="AG30" s="39" t="s">
        <v>319</v>
      </c>
      <c r="AH30" s="1" t="s">
        <v>320</v>
      </c>
      <c r="AI30" s="1" t="s">
        <v>570</v>
      </c>
      <c r="AJ30" s="1">
        <v>6</v>
      </c>
      <c r="AL30" s="3" t="s">
        <v>315</v>
      </c>
      <c r="AM30" s="1" t="s">
        <v>365</v>
      </c>
      <c r="AN30" s="16" t="s">
        <v>316</v>
      </c>
      <c r="AO30" s="1" t="s">
        <v>365</v>
      </c>
      <c r="AP30" s="39" t="s">
        <v>456</v>
      </c>
      <c r="AQ30" s="47" t="s">
        <v>457</v>
      </c>
      <c r="AR30" s="51" t="s">
        <v>458</v>
      </c>
      <c r="AS30" s="11"/>
    </row>
    <row r="31" spans="1:45">
      <c r="A31" s="39">
        <v>5</v>
      </c>
      <c r="B31" s="39">
        <v>2</v>
      </c>
      <c r="C31" s="3">
        <v>29</v>
      </c>
      <c r="D31" s="3" t="s">
        <v>351</v>
      </c>
      <c r="E31" s="1" t="s">
        <v>32</v>
      </c>
      <c r="F31" s="24" t="s">
        <v>33</v>
      </c>
      <c r="G31" s="19" t="s">
        <v>34</v>
      </c>
      <c r="H31" s="17" t="s">
        <v>24</v>
      </c>
      <c r="I31" s="20" t="s">
        <v>17</v>
      </c>
      <c r="J31" s="17" t="s">
        <v>24</v>
      </c>
      <c r="K31" s="17" t="s">
        <v>24</v>
      </c>
      <c r="L31" s="17" t="s">
        <v>24</v>
      </c>
      <c r="M31" s="16" t="s">
        <v>347</v>
      </c>
      <c r="N31" s="4">
        <v>9133</v>
      </c>
      <c r="O31" s="1">
        <v>2594</v>
      </c>
      <c r="P31" s="2">
        <f t="shared" si="0"/>
        <v>3.520817270624518</v>
      </c>
      <c r="Q31" s="6">
        <v>0.53238456344465801</v>
      </c>
      <c r="R31" s="36">
        <v>0.81027667999999997</v>
      </c>
      <c r="S31">
        <v>575331</v>
      </c>
      <c r="T31">
        <v>480</v>
      </c>
      <c r="U31">
        <v>7083</v>
      </c>
      <c r="V31">
        <v>2050</v>
      </c>
      <c r="W31" s="4">
        <v>2</v>
      </c>
      <c r="X31" s="7">
        <v>0.64814814814814803</v>
      </c>
      <c r="Y31" s="36">
        <v>0.87969924812030098</v>
      </c>
      <c r="Z31">
        <v>345264</v>
      </c>
      <c r="AA31">
        <v>112</v>
      </c>
      <c r="AB31">
        <v>1775</v>
      </c>
      <c r="AC31">
        <v>819</v>
      </c>
      <c r="AD31" s="1">
        <v>2</v>
      </c>
      <c r="AE31" s="39" t="s">
        <v>35</v>
      </c>
      <c r="AF31" s="42" t="s">
        <v>36</v>
      </c>
      <c r="AG31" s="39" t="s">
        <v>37</v>
      </c>
      <c r="AH31" s="1" t="s">
        <v>38</v>
      </c>
      <c r="AI31" s="1" t="s">
        <v>555</v>
      </c>
      <c r="AJ31" s="1">
        <v>5</v>
      </c>
      <c r="AL31" s="3" t="s">
        <v>33</v>
      </c>
      <c r="AM31" s="1" t="s">
        <v>365</v>
      </c>
      <c r="AN31" s="19" t="s">
        <v>34</v>
      </c>
      <c r="AO31" s="1" t="s">
        <v>365</v>
      </c>
      <c r="AP31" s="3" t="s">
        <v>366</v>
      </c>
      <c r="AQ31" s="48" t="s">
        <v>367</v>
      </c>
      <c r="AR31" s="51" t="s">
        <v>368</v>
      </c>
      <c r="AS31" s="1"/>
    </row>
    <row r="32" spans="1:45">
      <c r="A32" s="39">
        <v>6</v>
      </c>
      <c r="B32" s="39">
        <v>3</v>
      </c>
      <c r="C32" s="3">
        <v>30</v>
      </c>
      <c r="D32" s="3" t="s">
        <v>351</v>
      </c>
      <c r="E32" s="1" t="s">
        <v>32</v>
      </c>
      <c r="F32" s="24" t="s">
        <v>39</v>
      </c>
      <c r="G32" s="19" t="s">
        <v>40</v>
      </c>
      <c r="H32" s="17" t="s">
        <v>24</v>
      </c>
      <c r="I32" s="20" t="s">
        <v>17</v>
      </c>
      <c r="J32" s="20" t="s">
        <v>17</v>
      </c>
      <c r="K32" s="20" t="s">
        <v>17</v>
      </c>
      <c r="L32" s="17" t="s">
        <v>24</v>
      </c>
      <c r="M32" s="16" t="s">
        <v>347</v>
      </c>
      <c r="N32" s="4">
        <v>322</v>
      </c>
      <c r="O32" s="1">
        <v>260</v>
      </c>
      <c r="P32" s="2">
        <f t="shared" si="0"/>
        <v>1.2384615384615385</v>
      </c>
      <c r="Q32" s="6">
        <v>0.77041602465331205</v>
      </c>
      <c r="R32" s="36">
        <v>0.81967213100000003</v>
      </c>
      <c r="S32">
        <v>584578</v>
      </c>
      <c r="T32">
        <v>44</v>
      </c>
      <c r="U32">
        <v>122</v>
      </c>
      <c r="V32">
        <v>200</v>
      </c>
      <c r="W32" s="4">
        <v>2</v>
      </c>
      <c r="X32" s="7">
        <v>0.79719387755102</v>
      </c>
      <c r="Y32" s="36">
        <v>0.954198473282443</v>
      </c>
      <c r="Z32">
        <v>347704</v>
      </c>
      <c r="AA32">
        <v>6</v>
      </c>
      <c r="AB32">
        <v>135</v>
      </c>
      <c r="AC32">
        <v>125</v>
      </c>
      <c r="AD32" s="1">
        <v>2</v>
      </c>
      <c r="AE32" s="39" t="s">
        <v>41</v>
      </c>
      <c r="AF32" s="42" t="s">
        <v>42</v>
      </c>
      <c r="AG32" s="39" t="s">
        <v>43</v>
      </c>
      <c r="AH32" s="1" t="s">
        <v>44</v>
      </c>
      <c r="AI32" s="1" t="s">
        <v>554</v>
      </c>
      <c r="AJ32" s="1">
        <v>7</v>
      </c>
      <c r="AL32" s="3" t="s">
        <v>39</v>
      </c>
      <c r="AM32" s="1" t="s">
        <v>365</v>
      </c>
      <c r="AN32" s="19" t="s">
        <v>40</v>
      </c>
      <c r="AO32" s="1" t="s">
        <v>365</v>
      </c>
      <c r="AP32" s="3" t="s">
        <v>496</v>
      </c>
      <c r="AQ32" s="49" t="s">
        <v>497</v>
      </c>
      <c r="AR32" s="49"/>
      <c r="AS32" s="1"/>
    </row>
    <row r="33" spans="1:45">
      <c r="A33" s="39">
        <v>7</v>
      </c>
      <c r="B33" s="39">
        <v>4</v>
      </c>
      <c r="C33" s="3">
        <v>31</v>
      </c>
      <c r="D33" s="3" t="s">
        <v>351</v>
      </c>
      <c r="E33" s="1" t="s">
        <v>32</v>
      </c>
      <c r="F33" s="24" t="s">
        <v>45</v>
      </c>
      <c r="G33" s="19" t="s">
        <v>46</v>
      </c>
      <c r="H33" s="17" t="s">
        <v>24</v>
      </c>
      <c r="I33" s="20" t="s">
        <v>17</v>
      </c>
      <c r="J33" s="20" t="s">
        <v>17</v>
      </c>
      <c r="K33" s="17" t="s">
        <v>24</v>
      </c>
      <c r="L33" s="17" t="s">
        <v>24</v>
      </c>
      <c r="M33" s="16" t="s">
        <v>347</v>
      </c>
      <c r="N33" s="4">
        <v>312</v>
      </c>
      <c r="O33" s="1">
        <v>236</v>
      </c>
      <c r="P33" s="2">
        <f t="shared" si="0"/>
        <v>1.3220338983050848</v>
      </c>
      <c r="Q33" s="6">
        <v>0.50143266475644699</v>
      </c>
      <c r="R33" s="36">
        <v>0.51660516599999995</v>
      </c>
      <c r="S33">
        <v>584501</v>
      </c>
      <c r="T33">
        <v>131</v>
      </c>
      <c r="U33">
        <v>172</v>
      </c>
      <c r="V33">
        <v>140</v>
      </c>
      <c r="W33" s="4">
        <v>1</v>
      </c>
      <c r="X33" s="7">
        <v>0.63586956521739102</v>
      </c>
      <c r="Y33" s="36">
        <v>0.68421052631579005</v>
      </c>
      <c r="Z33">
        <v>347680</v>
      </c>
      <c r="AA33">
        <v>54</v>
      </c>
      <c r="AB33">
        <v>119</v>
      </c>
      <c r="AC33">
        <v>117</v>
      </c>
      <c r="AD33" s="1">
        <v>1</v>
      </c>
      <c r="AE33" s="39" t="s">
        <v>47</v>
      </c>
      <c r="AF33" s="42" t="s">
        <v>47</v>
      </c>
      <c r="AG33" s="39" t="s">
        <v>48</v>
      </c>
      <c r="AH33" s="1" t="s">
        <v>49</v>
      </c>
      <c r="AI33" s="1" t="s">
        <v>569</v>
      </c>
      <c r="AJ33" s="1">
        <v>4</v>
      </c>
      <c r="AL33" s="3" t="s">
        <v>45</v>
      </c>
      <c r="AM33" s="1" t="s">
        <v>360</v>
      </c>
      <c r="AN33" s="19" t="s">
        <v>46</v>
      </c>
      <c r="AO33" s="1" t="s">
        <v>360</v>
      </c>
      <c r="AP33" s="3" t="s">
        <v>369</v>
      </c>
      <c r="AQ33" s="47" t="s">
        <v>370</v>
      </c>
      <c r="AR33" s="50" t="s">
        <v>371</v>
      </c>
      <c r="AS33" s="3" t="s">
        <v>372</v>
      </c>
    </row>
    <row r="34" spans="1:45">
      <c r="A34" s="39">
        <v>8</v>
      </c>
      <c r="B34" s="39">
        <v>6</v>
      </c>
      <c r="C34" s="3">
        <v>32</v>
      </c>
      <c r="D34" s="3" t="s">
        <v>351</v>
      </c>
      <c r="E34" s="1" t="s">
        <v>50</v>
      </c>
      <c r="F34" s="24" t="s">
        <v>51</v>
      </c>
      <c r="G34" s="19" t="s">
        <v>52</v>
      </c>
      <c r="H34" s="17" t="s">
        <v>24</v>
      </c>
      <c r="I34" s="20" t="s">
        <v>17</v>
      </c>
      <c r="J34" s="20" t="s">
        <v>17</v>
      </c>
      <c r="K34" s="20" t="s">
        <v>17</v>
      </c>
      <c r="L34" s="17" t="s">
        <v>24</v>
      </c>
      <c r="M34" s="16" t="s">
        <v>347</v>
      </c>
      <c r="N34" s="4">
        <v>17695</v>
      </c>
      <c r="O34" s="1">
        <v>17999</v>
      </c>
      <c r="P34" s="2">
        <f t="shared" si="0"/>
        <v>0.98311017278737711</v>
      </c>
      <c r="Q34" s="6">
        <v>0.77435791857532499</v>
      </c>
      <c r="R34" s="36">
        <v>0.88953488400000003</v>
      </c>
      <c r="S34">
        <v>566128</v>
      </c>
      <c r="T34">
        <v>1121</v>
      </c>
      <c r="U34">
        <v>8668</v>
      </c>
      <c r="V34">
        <v>9027</v>
      </c>
      <c r="W34" s="4">
        <v>2</v>
      </c>
      <c r="X34" s="7">
        <v>0.80390094655320798</v>
      </c>
      <c r="Y34" s="36">
        <v>0.98063914159085597</v>
      </c>
      <c r="Z34">
        <v>329805</v>
      </c>
      <c r="AA34">
        <v>166</v>
      </c>
      <c r="AB34">
        <v>9591</v>
      </c>
      <c r="AC34">
        <v>8408</v>
      </c>
      <c r="AD34" s="1">
        <v>2</v>
      </c>
      <c r="AE34" s="39" t="s">
        <v>53</v>
      </c>
      <c r="AF34" s="42" t="s">
        <v>54</v>
      </c>
      <c r="AG34" s="39" t="s">
        <v>55</v>
      </c>
      <c r="AH34" s="1" t="s">
        <v>56</v>
      </c>
      <c r="AI34" s="1" t="s">
        <v>560</v>
      </c>
      <c r="AJ34" s="1">
        <v>6</v>
      </c>
      <c r="AL34" s="3" t="s">
        <v>51</v>
      </c>
      <c r="AM34" s="1" t="s">
        <v>360</v>
      </c>
      <c r="AN34" s="19" t="s">
        <v>52</v>
      </c>
      <c r="AO34" s="1" t="s">
        <v>360</v>
      </c>
      <c r="AP34" s="3" t="s">
        <v>506</v>
      </c>
      <c r="AQ34" s="47" t="s">
        <v>507</v>
      </c>
      <c r="AR34" s="50" t="s">
        <v>508</v>
      </c>
      <c r="AS34" s="3" t="s">
        <v>509</v>
      </c>
    </row>
    <row r="35" spans="1:45">
      <c r="A35" s="39">
        <v>11</v>
      </c>
      <c r="B35" s="39">
        <v>8</v>
      </c>
      <c r="C35" s="3">
        <v>33</v>
      </c>
      <c r="D35" s="3" t="s">
        <v>351</v>
      </c>
      <c r="E35" s="1" t="s">
        <v>50</v>
      </c>
      <c r="F35" s="24" t="s">
        <v>66</v>
      </c>
      <c r="G35" s="19" t="s">
        <v>67</v>
      </c>
      <c r="H35" s="17" t="s">
        <v>24</v>
      </c>
      <c r="I35" s="20" t="s">
        <v>17</v>
      </c>
      <c r="J35" s="20" t="s">
        <v>17</v>
      </c>
      <c r="K35" s="20" t="s">
        <v>17</v>
      </c>
      <c r="L35" s="17" t="s">
        <v>24</v>
      </c>
      <c r="M35" s="16" t="s">
        <v>347</v>
      </c>
      <c r="N35" s="4">
        <v>4805</v>
      </c>
      <c r="O35" s="1">
        <v>6437</v>
      </c>
      <c r="P35" s="2">
        <f t="shared" si="0"/>
        <v>0.74646574491222617</v>
      </c>
      <c r="Q35" s="6">
        <v>0.46354825115886999</v>
      </c>
      <c r="R35" s="36">
        <v>0.62322946199999996</v>
      </c>
      <c r="S35">
        <v>579474</v>
      </c>
      <c r="T35">
        <v>665</v>
      </c>
      <c r="U35">
        <v>3705</v>
      </c>
      <c r="V35">
        <v>1100</v>
      </c>
      <c r="W35" s="4">
        <v>3</v>
      </c>
      <c r="X35" s="7">
        <v>0.60240621985131404</v>
      </c>
      <c r="Y35" s="36">
        <v>0.75929899856938499</v>
      </c>
      <c r="Z35">
        <v>340860</v>
      </c>
      <c r="AA35">
        <v>673</v>
      </c>
      <c r="AB35">
        <v>4314</v>
      </c>
      <c r="AC35">
        <v>2123</v>
      </c>
      <c r="AD35" s="1">
        <v>2</v>
      </c>
      <c r="AE35" s="39" t="s">
        <v>68</v>
      </c>
      <c r="AF35" s="42" t="s">
        <v>69</v>
      </c>
      <c r="AG35" s="39" t="s">
        <v>70</v>
      </c>
      <c r="AH35" s="1" t="s">
        <v>71</v>
      </c>
      <c r="AI35" s="1" t="s">
        <v>567</v>
      </c>
      <c r="AJ35" s="1">
        <v>4</v>
      </c>
      <c r="AL35" s="3" t="s">
        <v>66</v>
      </c>
      <c r="AM35" s="1" t="s">
        <v>466</v>
      </c>
      <c r="AN35" s="19" t="s">
        <v>67</v>
      </c>
      <c r="AO35" s="1" t="s">
        <v>466</v>
      </c>
      <c r="AP35" s="3" t="s">
        <v>510</v>
      </c>
      <c r="AQ35" s="49" t="s">
        <v>511</v>
      </c>
      <c r="AR35" s="49"/>
      <c r="AS35" s="1"/>
    </row>
    <row r="36" spans="1:45">
      <c r="A36" s="39">
        <v>28</v>
      </c>
      <c r="B36" s="39">
        <v>24</v>
      </c>
      <c r="C36" s="3">
        <v>34</v>
      </c>
      <c r="D36" s="3" t="s">
        <v>353</v>
      </c>
      <c r="E36" s="1" t="s">
        <v>148</v>
      </c>
      <c r="F36" s="24" t="s">
        <v>161</v>
      </c>
      <c r="G36" s="19" t="s">
        <v>162</v>
      </c>
      <c r="H36" s="17" t="s">
        <v>24</v>
      </c>
      <c r="I36" s="20" t="s">
        <v>17</v>
      </c>
      <c r="J36" s="17" t="s">
        <v>24</v>
      </c>
      <c r="K36" s="20" t="s">
        <v>17</v>
      </c>
      <c r="L36" s="17" t="s">
        <v>24</v>
      </c>
      <c r="M36" s="16" t="s">
        <v>347</v>
      </c>
      <c r="N36" s="4">
        <v>716</v>
      </c>
      <c r="O36" s="1">
        <v>953</v>
      </c>
      <c r="P36" s="2">
        <f t="shared" si="0"/>
        <v>0.751311647429171</v>
      </c>
      <c r="Q36" s="6">
        <v>0.475299401197604</v>
      </c>
      <c r="R36" s="36">
        <v>0.81935483899999995</v>
      </c>
      <c r="S36">
        <v>584200</v>
      </c>
      <c r="T36">
        <v>28</v>
      </c>
      <c r="U36">
        <v>589</v>
      </c>
      <c r="V36">
        <v>127</v>
      </c>
      <c r="W36" s="4">
        <v>3</v>
      </c>
      <c r="X36" s="7">
        <v>0.52206203582350397</v>
      </c>
      <c r="Y36" s="36">
        <v>0.71556886227544902</v>
      </c>
      <c r="Z36">
        <v>346922</v>
      </c>
      <c r="AA36">
        <v>95</v>
      </c>
      <c r="AB36">
        <v>714</v>
      </c>
      <c r="AC36">
        <v>239</v>
      </c>
      <c r="AD36" s="1">
        <v>2</v>
      </c>
      <c r="AE36" s="39" t="s">
        <v>163</v>
      </c>
      <c r="AF36" s="42" t="s">
        <v>164</v>
      </c>
      <c r="AG36" s="39" t="s">
        <v>165</v>
      </c>
      <c r="AH36" s="1" t="s">
        <v>166</v>
      </c>
      <c r="AI36" s="1" t="s">
        <v>571</v>
      </c>
      <c r="AJ36" s="1">
        <v>7</v>
      </c>
      <c r="AL36" s="3" t="s">
        <v>161</v>
      </c>
      <c r="AM36" s="1" t="s">
        <v>360</v>
      </c>
      <c r="AN36" s="19" t="s">
        <v>162</v>
      </c>
      <c r="AO36" s="1" t="s">
        <v>360</v>
      </c>
      <c r="AP36" s="3" t="s">
        <v>410</v>
      </c>
      <c r="AQ36" s="47" t="s">
        <v>411</v>
      </c>
      <c r="AR36" s="50" t="s">
        <v>412</v>
      </c>
      <c r="AS36" s="3" t="s">
        <v>413</v>
      </c>
    </row>
    <row r="37" spans="1:45" s="42" customFormat="1" ht="17" thickBot="1">
      <c r="A37" s="39">
        <v>32</v>
      </c>
      <c r="B37" s="39">
        <v>27</v>
      </c>
      <c r="C37" s="39">
        <v>35</v>
      </c>
      <c r="D37" s="39" t="s">
        <v>353</v>
      </c>
      <c r="E37" s="42" t="s">
        <v>167</v>
      </c>
      <c r="F37" s="39" t="s">
        <v>182</v>
      </c>
      <c r="G37" s="42" t="s">
        <v>183</v>
      </c>
      <c r="H37" s="55" t="s">
        <v>24</v>
      </c>
      <c r="I37" s="55" t="s">
        <v>17</v>
      </c>
      <c r="J37" s="55" t="s">
        <v>24</v>
      </c>
      <c r="K37" s="55" t="s">
        <v>17</v>
      </c>
      <c r="L37" s="55" t="s">
        <v>24</v>
      </c>
      <c r="M37" s="42" t="s">
        <v>347</v>
      </c>
      <c r="N37" s="56">
        <v>335</v>
      </c>
      <c r="O37" s="42">
        <v>515</v>
      </c>
      <c r="P37" s="7">
        <f t="shared" si="0"/>
        <v>0.65048543689320393</v>
      </c>
      <c r="Q37" s="6">
        <v>0.77328646748681895</v>
      </c>
      <c r="R37" s="57">
        <v>0.76967929999999996</v>
      </c>
      <c r="S37" s="58">
        <v>584530</v>
      </c>
      <c r="T37" s="58">
        <v>79</v>
      </c>
      <c r="U37" s="58">
        <v>71</v>
      </c>
      <c r="V37" s="58">
        <v>264</v>
      </c>
      <c r="W37" s="56">
        <v>1</v>
      </c>
      <c r="X37" s="7">
        <v>0.62559241706161095</v>
      </c>
      <c r="Y37" s="57">
        <v>0.97777777777777797</v>
      </c>
      <c r="Z37" s="58">
        <v>347452</v>
      </c>
      <c r="AA37" s="58">
        <v>3</v>
      </c>
      <c r="AB37" s="58">
        <v>383</v>
      </c>
      <c r="AC37" s="58">
        <v>132</v>
      </c>
      <c r="AD37" s="42">
        <v>2</v>
      </c>
      <c r="AE37" s="39" t="s">
        <v>184</v>
      </c>
      <c r="AF37" s="42" t="s">
        <v>185</v>
      </c>
      <c r="AG37" s="39" t="s">
        <v>186</v>
      </c>
      <c r="AH37" s="42" t="s">
        <v>187</v>
      </c>
      <c r="AI37" s="42" t="s">
        <v>579</v>
      </c>
      <c r="AJ37" s="42">
        <v>4</v>
      </c>
      <c r="AL37" s="39" t="s">
        <v>182</v>
      </c>
      <c r="AM37" s="42" t="s">
        <v>365</v>
      </c>
      <c r="AN37" s="42" t="s">
        <v>183</v>
      </c>
      <c r="AO37" s="42" t="s">
        <v>365</v>
      </c>
      <c r="AP37" s="3" t="s">
        <v>478</v>
      </c>
      <c r="AQ37" s="47" t="s">
        <v>479</v>
      </c>
      <c r="AR37" s="47"/>
      <c r="AS37" s="59"/>
    </row>
    <row r="38" spans="1:45" ht="17" thickBot="1">
      <c r="A38" s="39">
        <v>41</v>
      </c>
      <c r="B38" s="39">
        <v>35</v>
      </c>
      <c r="C38" s="3">
        <v>36</v>
      </c>
      <c r="D38" s="3" t="s">
        <v>354</v>
      </c>
      <c r="E38" s="1" t="s">
        <v>223</v>
      </c>
      <c r="F38" s="31" t="s">
        <v>233</v>
      </c>
      <c r="G38" s="32" t="s">
        <v>234</v>
      </c>
      <c r="H38" s="17" t="s">
        <v>24</v>
      </c>
      <c r="I38" s="20" t="s">
        <v>17</v>
      </c>
      <c r="J38" s="20" t="s">
        <v>17</v>
      </c>
      <c r="K38" s="20" t="s">
        <v>17</v>
      </c>
      <c r="L38" s="20" t="s">
        <v>17</v>
      </c>
      <c r="M38" s="16" t="s">
        <v>347</v>
      </c>
      <c r="N38" s="4">
        <v>38955</v>
      </c>
      <c r="O38" s="1">
        <v>12989</v>
      </c>
      <c r="P38" s="2">
        <f t="shared" si="0"/>
        <v>2.9990761413503733</v>
      </c>
      <c r="Q38" s="6">
        <v>0.74607431491423803</v>
      </c>
      <c r="R38" s="36">
        <v>0.74764585299999997</v>
      </c>
      <c r="S38">
        <v>536261</v>
      </c>
      <c r="T38">
        <v>9728</v>
      </c>
      <c r="U38">
        <v>10134</v>
      </c>
      <c r="V38">
        <v>28821</v>
      </c>
      <c r="W38" s="4">
        <v>2</v>
      </c>
      <c r="X38" s="7">
        <v>0.88057445200302298</v>
      </c>
      <c r="Y38" s="36">
        <v>0.94146290924160803</v>
      </c>
      <c r="Z38">
        <v>334416</v>
      </c>
      <c r="AA38">
        <v>565</v>
      </c>
      <c r="AB38">
        <v>3902</v>
      </c>
      <c r="AC38">
        <v>9087</v>
      </c>
      <c r="AD38" s="1">
        <v>2</v>
      </c>
      <c r="AE38" s="39" t="s">
        <v>544</v>
      </c>
      <c r="AF38" s="42" t="s">
        <v>545</v>
      </c>
      <c r="AG38" s="39" t="s">
        <v>546</v>
      </c>
      <c r="AH38" s="1" t="s">
        <v>547</v>
      </c>
      <c r="AI38" s="1" t="s">
        <v>557</v>
      </c>
      <c r="AJ38" s="1">
        <v>5</v>
      </c>
      <c r="AL38" s="3" t="s">
        <v>233</v>
      </c>
      <c r="AM38" s="1" t="s">
        <v>360</v>
      </c>
      <c r="AN38" s="32" t="s">
        <v>234</v>
      </c>
      <c r="AO38" s="1" t="s">
        <v>360</v>
      </c>
      <c r="AP38" s="3" t="s">
        <v>515</v>
      </c>
      <c r="AQ38" s="47" t="s">
        <v>516</v>
      </c>
      <c r="AR38" s="50" t="s">
        <v>517</v>
      </c>
      <c r="AS38" s="3" t="s">
        <v>427</v>
      </c>
    </row>
    <row r="39" spans="1:45">
      <c r="A39" s="39">
        <v>42</v>
      </c>
      <c r="B39" s="39">
        <v>36</v>
      </c>
      <c r="C39" s="3">
        <v>37</v>
      </c>
      <c r="D39" s="3" t="s">
        <v>354</v>
      </c>
      <c r="E39" s="1" t="s">
        <v>223</v>
      </c>
      <c r="F39" s="24" t="s">
        <v>235</v>
      </c>
      <c r="G39" s="19" t="s">
        <v>236</v>
      </c>
      <c r="H39" s="17" t="s">
        <v>24</v>
      </c>
      <c r="I39" s="20" t="s">
        <v>17</v>
      </c>
      <c r="J39" s="20" t="s">
        <v>17</v>
      </c>
      <c r="K39" s="17" t="s">
        <v>24</v>
      </c>
      <c r="L39" s="17" t="s">
        <v>24</v>
      </c>
      <c r="M39" s="16" t="s">
        <v>347</v>
      </c>
      <c r="N39" s="4">
        <v>165</v>
      </c>
      <c r="O39" s="1">
        <v>88</v>
      </c>
      <c r="P39" s="2">
        <f t="shared" si="0"/>
        <v>1.875</v>
      </c>
      <c r="Q39" s="6">
        <v>0.55913978494623595</v>
      </c>
      <c r="R39" s="36">
        <v>0.693333333</v>
      </c>
      <c r="S39">
        <v>584756</v>
      </c>
      <c r="T39">
        <v>23</v>
      </c>
      <c r="U39">
        <v>113</v>
      </c>
      <c r="V39">
        <v>52</v>
      </c>
      <c r="W39" s="4">
        <v>3</v>
      </c>
      <c r="X39" s="7">
        <v>0.76271186440677996</v>
      </c>
      <c r="Y39" s="36">
        <v>0.97297297297297303</v>
      </c>
      <c r="Z39">
        <v>347881</v>
      </c>
      <c r="AA39">
        <v>1</v>
      </c>
      <c r="AB39">
        <v>52</v>
      </c>
      <c r="AC39">
        <v>36</v>
      </c>
      <c r="AD39" s="1">
        <v>3</v>
      </c>
      <c r="AE39" s="39" t="s">
        <v>237</v>
      </c>
      <c r="AF39" s="42" t="s">
        <v>238</v>
      </c>
      <c r="AG39" s="39" t="s">
        <v>239</v>
      </c>
      <c r="AH39" s="1" t="s">
        <v>240</v>
      </c>
      <c r="AI39" s="1" t="s">
        <v>581</v>
      </c>
      <c r="AJ39" s="1">
        <v>7</v>
      </c>
      <c r="AL39" s="3" t="s">
        <v>235</v>
      </c>
      <c r="AM39" s="1" t="s">
        <v>365</v>
      </c>
      <c r="AN39" s="19" t="s">
        <v>236</v>
      </c>
      <c r="AO39" s="1" t="s">
        <v>365</v>
      </c>
      <c r="AP39" s="3" t="s">
        <v>434</v>
      </c>
      <c r="AQ39" s="49" t="s">
        <v>435</v>
      </c>
      <c r="AR39" s="51" t="s">
        <v>436</v>
      </c>
      <c r="AS39" s="1"/>
    </row>
    <row r="40" spans="1:45">
      <c r="A40" s="39">
        <v>43</v>
      </c>
      <c r="B40" s="39">
        <v>37</v>
      </c>
      <c r="C40" s="3">
        <v>38</v>
      </c>
      <c r="D40" s="3" t="s">
        <v>354</v>
      </c>
      <c r="E40" s="1" t="s">
        <v>241</v>
      </c>
      <c r="F40" s="24" t="s">
        <v>242</v>
      </c>
      <c r="G40" s="19" t="s">
        <v>243</v>
      </c>
      <c r="H40" s="17" t="s">
        <v>24</v>
      </c>
      <c r="I40" s="17" t="s">
        <v>24</v>
      </c>
      <c r="J40" s="17" t="s">
        <v>24</v>
      </c>
      <c r="K40" s="17" t="s">
        <v>24</v>
      </c>
      <c r="L40" s="20" t="s">
        <v>17</v>
      </c>
      <c r="M40" s="16" t="s">
        <v>347</v>
      </c>
      <c r="N40" s="4">
        <v>537</v>
      </c>
      <c r="O40" s="1">
        <v>1113</v>
      </c>
      <c r="P40" s="2">
        <f t="shared" si="0"/>
        <v>0.48247978436657685</v>
      </c>
      <c r="Q40" s="6">
        <v>0.93474088291746604</v>
      </c>
      <c r="R40" s="36">
        <v>0.94197292099999996</v>
      </c>
      <c r="S40">
        <v>584377</v>
      </c>
      <c r="T40">
        <v>30</v>
      </c>
      <c r="U40">
        <v>50</v>
      </c>
      <c r="V40">
        <v>487</v>
      </c>
      <c r="W40" s="4">
        <v>1</v>
      </c>
      <c r="X40" s="7">
        <v>0.95298602287166401</v>
      </c>
      <c r="Y40" s="36">
        <v>0.95541401273885396</v>
      </c>
      <c r="Z40">
        <v>346808</v>
      </c>
      <c r="AA40">
        <v>49</v>
      </c>
      <c r="AB40">
        <v>63</v>
      </c>
      <c r="AC40">
        <v>1050</v>
      </c>
      <c r="AD40" s="1">
        <v>1</v>
      </c>
      <c r="AE40" s="39" t="s">
        <v>244</v>
      </c>
      <c r="AF40" s="42" t="s">
        <v>244</v>
      </c>
      <c r="AG40" s="39" t="s">
        <v>245</v>
      </c>
      <c r="AH40" s="1" t="s">
        <v>246</v>
      </c>
      <c r="AI40" s="1" t="s">
        <v>576</v>
      </c>
      <c r="AJ40" s="1">
        <v>6</v>
      </c>
      <c r="AL40" s="3" t="s">
        <v>242</v>
      </c>
      <c r="AM40" s="1" t="s">
        <v>365</v>
      </c>
      <c r="AN40" s="19" t="s">
        <v>243</v>
      </c>
      <c r="AO40" s="1" t="s">
        <v>365</v>
      </c>
      <c r="AP40" s="3" t="s">
        <v>437</v>
      </c>
      <c r="AQ40" s="47" t="s">
        <v>438</v>
      </c>
      <c r="AR40" s="51" t="s">
        <v>439</v>
      </c>
      <c r="AS40" s="11"/>
    </row>
    <row r="41" spans="1:45" ht="17" thickBot="1">
      <c r="A41" s="39">
        <v>49</v>
      </c>
      <c r="B41" s="39">
        <v>40</v>
      </c>
      <c r="C41" s="3">
        <v>39</v>
      </c>
      <c r="D41" s="3" t="s">
        <v>354</v>
      </c>
      <c r="E41" s="1" t="s">
        <v>256</v>
      </c>
      <c r="F41" s="24" t="s">
        <v>268</v>
      </c>
      <c r="G41" s="19" t="s">
        <v>267</v>
      </c>
      <c r="H41" s="17" t="s">
        <v>24</v>
      </c>
      <c r="I41" s="20" t="s">
        <v>17</v>
      </c>
      <c r="J41" s="17" t="s">
        <v>24</v>
      </c>
      <c r="K41" s="17" t="s">
        <v>24</v>
      </c>
      <c r="L41" s="17" t="s">
        <v>24</v>
      </c>
      <c r="M41" s="16" t="s">
        <v>347</v>
      </c>
      <c r="N41" s="4">
        <v>4393</v>
      </c>
      <c r="O41" s="1">
        <v>4257</v>
      </c>
      <c r="P41" s="2">
        <f t="shared" si="0"/>
        <v>1.03194738078459</v>
      </c>
      <c r="Q41" s="6">
        <v>0.73131537427686499</v>
      </c>
      <c r="R41" s="36">
        <v>0.78710691799999999</v>
      </c>
      <c r="S41">
        <v>579874</v>
      </c>
      <c r="T41">
        <v>677</v>
      </c>
      <c r="U41">
        <v>1890</v>
      </c>
      <c r="V41">
        <v>2503</v>
      </c>
      <c r="W41" s="4">
        <v>2</v>
      </c>
      <c r="X41" s="7">
        <v>0.87029444700000003</v>
      </c>
      <c r="Y41" s="36">
        <v>0.90030294684659895</v>
      </c>
      <c r="Z41">
        <v>343351</v>
      </c>
      <c r="AA41">
        <v>362</v>
      </c>
      <c r="AB41">
        <v>988</v>
      </c>
      <c r="AC41">
        <v>3269</v>
      </c>
      <c r="AD41" s="1">
        <v>2</v>
      </c>
      <c r="AE41" s="43" t="s">
        <v>599</v>
      </c>
      <c r="AF41" s="62" t="s">
        <v>598</v>
      </c>
      <c r="AG41" s="43" t="s">
        <v>597</v>
      </c>
      <c r="AH41" s="30" t="s">
        <v>596</v>
      </c>
      <c r="AI41" s="1" t="s">
        <v>600</v>
      </c>
      <c r="AJ41" s="1">
        <v>4</v>
      </c>
      <c r="AL41" s="3" t="s">
        <v>268</v>
      </c>
      <c r="AM41" s="1" t="s">
        <v>466</v>
      </c>
      <c r="AN41" s="19" t="s">
        <v>267</v>
      </c>
      <c r="AO41" s="1" t="s">
        <v>466</v>
      </c>
      <c r="AP41" s="3" t="s">
        <v>520</v>
      </c>
      <c r="AQ41" s="49" t="s">
        <v>521</v>
      </c>
      <c r="AR41" s="49"/>
      <c r="AS41" s="1"/>
    </row>
    <row r="42" spans="1:45" ht="17" thickBot="1">
      <c r="A42" s="39">
        <v>54</v>
      </c>
      <c r="B42" s="39">
        <v>42</v>
      </c>
      <c r="C42" s="3">
        <v>40</v>
      </c>
      <c r="D42" s="3" t="s">
        <v>354</v>
      </c>
      <c r="E42" s="1" t="s">
        <v>270</v>
      </c>
      <c r="F42" s="31" t="s">
        <v>283</v>
      </c>
      <c r="G42" s="32" t="s">
        <v>284</v>
      </c>
      <c r="H42" s="17" t="s">
        <v>24</v>
      </c>
      <c r="I42" s="20" t="s">
        <v>17</v>
      </c>
      <c r="J42" s="20" t="s">
        <v>17</v>
      </c>
      <c r="K42" s="20" t="s">
        <v>17</v>
      </c>
      <c r="L42" s="20" t="s">
        <v>17</v>
      </c>
      <c r="M42" s="16" t="s">
        <v>347</v>
      </c>
      <c r="N42" s="4">
        <v>9955</v>
      </c>
      <c r="O42" s="1">
        <v>2521</v>
      </c>
      <c r="P42" s="2">
        <f t="shared" si="0"/>
        <v>3.9488298294327646</v>
      </c>
      <c r="Q42" s="6">
        <v>0.68217931108776997</v>
      </c>
      <c r="R42" s="36">
        <v>0.74565793300000005</v>
      </c>
      <c r="S42">
        <v>573261</v>
      </c>
      <c r="T42">
        <v>1728</v>
      </c>
      <c r="U42">
        <v>4889</v>
      </c>
      <c r="V42">
        <v>5066</v>
      </c>
      <c r="W42" s="4">
        <v>2</v>
      </c>
      <c r="X42" s="7">
        <v>0.75338639854768896</v>
      </c>
      <c r="Y42" s="36">
        <v>0.930172413793103</v>
      </c>
      <c r="Z42">
        <v>345368</v>
      </c>
      <c r="AA42">
        <v>81</v>
      </c>
      <c r="AB42">
        <v>1442</v>
      </c>
      <c r="AC42">
        <v>1079</v>
      </c>
      <c r="AD42" s="1">
        <v>2</v>
      </c>
      <c r="AE42" s="39" t="s">
        <v>285</v>
      </c>
      <c r="AF42" s="42" t="s">
        <v>286</v>
      </c>
      <c r="AG42" s="39" t="s">
        <v>287</v>
      </c>
      <c r="AH42" s="1" t="s">
        <v>288</v>
      </c>
      <c r="AI42" s="1" t="s">
        <v>561</v>
      </c>
      <c r="AJ42" s="1">
        <v>3</v>
      </c>
      <c r="AL42" s="3" t="s">
        <v>283</v>
      </c>
      <c r="AM42" s="1" t="s">
        <v>466</v>
      </c>
      <c r="AN42" s="32" t="s">
        <v>284</v>
      </c>
      <c r="AO42" s="1" t="s">
        <v>466</v>
      </c>
      <c r="AP42" s="3" t="s">
        <v>488</v>
      </c>
      <c r="AQ42" s="49" t="s">
        <v>489</v>
      </c>
      <c r="AR42" s="49"/>
      <c r="AS42" s="1"/>
    </row>
    <row r="43" spans="1:45">
      <c r="A43" s="39">
        <v>59</v>
      </c>
      <c r="B43" s="39">
        <v>47</v>
      </c>
      <c r="C43" s="3">
        <v>41</v>
      </c>
      <c r="D43" s="3" t="s">
        <v>354</v>
      </c>
      <c r="E43" s="1" t="s">
        <v>607</v>
      </c>
      <c r="F43" s="24" t="s">
        <v>306</v>
      </c>
      <c r="G43" s="19" t="s">
        <v>307</v>
      </c>
      <c r="H43" s="17" t="s">
        <v>24</v>
      </c>
      <c r="I43" s="20" t="s">
        <v>17</v>
      </c>
      <c r="J43" s="20" t="s">
        <v>17</v>
      </c>
      <c r="K43" s="17" t="s">
        <v>24</v>
      </c>
      <c r="L43" s="17" t="s">
        <v>24</v>
      </c>
      <c r="M43" s="16" t="s">
        <v>347</v>
      </c>
      <c r="N43" s="4">
        <v>1004</v>
      </c>
      <c r="O43" s="1">
        <v>202</v>
      </c>
      <c r="P43" s="2">
        <f t="shared" si="0"/>
        <v>4.9702970297029703</v>
      </c>
      <c r="Q43" s="6">
        <v>0.70723684210526305</v>
      </c>
      <c r="R43" s="36">
        <v>0.84479371299999995</v>
      </c>
      <c r="S43">
        <v>583861</v>
      </c>
      <c r="T43">
        <v>79</v>
      </c>
      <c r="U43">
        <v>574</v>
      </c>
      <c r="V43">
        <v>430</v>
      </c>
      <c r="W43" s="4">
        <v>2</v>
      </c>
      <c r="X43" s="7">
        <v>0.86461126005361899</v>
      </c>
      <c r="Y43" s="36">
        <v>0.94852941176470595</v>
      </c>
      <c r="Z43">
        <v>347761</v>
      </c>
      <c r="AA43">
        <v>7</v>
      </c>
      <c r="AB43">
        <v>73</v>
      </c>
      <c r="AC43">
        <v>129</v>
      </c>
      <c r="AD43" s="1">
        <v>2</v>
      </c>
      <c r="AE43" s="39" t="s">
        <v>308</v>
      </c>
      <c r="AF43" s="42" t="s">
        <v>309</v>
      </c>
      <c r="AG43" s="39" t="s">
        <v>310</v>
      </c>
      <c r="AH43" s="1" t="s">
        <v>311</v>
      </c>
      <c r="AI43" s="1" t="s">
        <v>562</v>
      </c>
      <c r="AJ43" s="1">
        <v>6</v>
      </c>
      <c r="AL43" s="3" t="s">
        <v>306</v>
      </c>
      <c r="AM43" s="1" t="s">
        <v>360</v>
      </c>
      <c r="AN43" s="19" t="s">
        <v>307</v>
      </c>
      <c r="AO43" s="1" t="s">
        <v>360</v>
      </c>
      <c r="AP43" s="3" t="s">
        <v>453</v>
      </c>
      <c r="AQ43" s="47" t="s">
        <v>454</v>
      </c>
      <c r="AR43" s="50" t="s">
        <v>455</v>
      </c>
      <c r="AS43" s="3" t="s">
        <v>427</v>
      </c>
    </row>
    <row r="44" spans="1:45">
      <c r="A44" s="39">
        <v>1</v>
      </c>
      <c r="B44" s="39">
        <v>100</v>
      </c>
      <c r="C44" s="3">
        <v>42</v>
      </c>
      <c r="D44" s="3" t="s">
        <v>351</v>
      </c>
      <c r="E44" s="1" t="s">
        <v>15</v>
      </c>
      <c r="F44" s="25" t="s">
        <v>16</v>
      </c>
      <c r="G44" s="21"/>
      <c r="H44" s="22" t="s">
        <v>17</v>
      </c>
      <c r="I44" s="22" t="s">
        <v>17</v>
      </c>
      <c r="J44" s="22" t="s">
        <v>17</v>
      </c>
      <c r="K44" s="22" t="s">
        <v>17</v>
      </c>
      <c r="L44" s="22" t="s">
        <v>17</v>
      </c>
      <c r="M44" s="21" t="s">
        <v>346</v>
      </c>
      <c r="N44" s="4">
        <v>1203</v>
      </c>
      <c r="Q44" s="6">
        <v>0.40910845233500498</v>
      </c>
      <c r="R44" s="36">
        <v>0.61095100899999999</v>
      </c>
      <c r="S44">
        <v>583606</v>
      </c>
      <c r="T44">
        <v>135</v>
      </c>
      <c r="U44">
        <v>991</v>
      </c>
      <c r="V44">
        <v>212</v>
      </c>
      <c r="W44" s="4">
        <v>2</v>
      </c>
      <c r="AE44" s="39" t="s">
        <v>18</v>
      </c>
      <c r="AF44" s="42" t="s">
        <v>618</v>
      </c>
      <c r="AG44" s="39" t="s">
        <v>19</v>
      </c>
      <c r="AL44" s="3" t="s">
        <v>16</v>
      </c>
      <c r="AM44" s="1" t="s">
        <v>360</v>
      </c>
      <c r="AN44" s="21"/>
      <c r="AO44" s="1"/>
      <c r="AP44" s="3" t="s">
        <v>459</v>
      </c>
      <c r="AQ44" s="47" t="s">
        <v>460</v>
      </c>
      <c r="AR44" s="50" t="s">
        <v>461</v>
      </c>
      <c r="AS44" s="3" t="s">
        <v>462</v>
      </c>
    </row>
    <row r="45" spans="1:45">
      <c r="A45" s="39">
        <v>2</v>
      </c>
      <c r="B45" s="39">
        <v>101</v>
      </c>
      <c r="C45" s="3">
        <v>43</v>
      </c>
      <c r="D45" s="3" t="s">
        <v>351</v>
      </c>
      <c r="E45" s="1" t="s">
        <v>15</v>
      </c>
      <c r="F45" s="25" t="s">
        <v>20</v>
      </c>
      <c r="G45" s="21"/>
      <c r="H45" s="22" t="s">
        <v>542</v>
      </c>
      <c r="I45" s="22" t="s">
        <v>17</v>
      </c>
      <c r="J45" s="22" t="s">
        <v>17</v>
      </c>
      <c r="K45" s="22" t="s">
        <v>17</v>
      </c>
      <c r="L45" s="22" t="s">
        <v>17</v>
      </c>
      <c r="M45" s="21" t="s">
        <v>346</v>
      </c>
      <c r="N45" s="4">
        <v>8065</v>
      </c>
      <c r="Q45" s="6">
        <v>0.67226475673005603</v>
      </c>
      <c r="R45" s="36">
        <v>0.89392446599999997</v>
      </c>
      <c r="S45">
        <v>576556</v>
      </c>
      <c r="T45">
        <v>323</v>
      </c>
      <c r="U45">
        <v>5343</v>
      </c>
      <c r="V45">
        <v>2722</v>
      </c>
      <c r="W45" s="4">
        <v>2</v>
      </c>
      <c r="AD45" s="2"/>
      <c r="AE45" s="39" t="s">
        <v>21</v>
      </c>
      <c r="AF45" s="42" t="s">
        <v>618</v>
      </c>
      <c r="AG45" s="39" t="s">
        <v>22</v>
      </c>
      <c r="AL45" s="3" t="s">
        <v>20</v>
      </c>
      <c r="AM45" s="1" t="s">
        <v>360</v>
      </c>
      <c r="AN45" s="21"/>
      <c r="AO45" s="1"/>
      <c r="AP45" s="3" t="s">
        <v>463</v>
      </c>
      <c r="AQ45" s="47" t="s">
        <v>464</v>
      </c>
      <c r="AR45" s="50" t="s">
        <v>465</v>
      </c>
      <c r="AS45" s="3" t="s">
        <v>427</v>
      </c>
    </row>
    <row r="46" spans="1:45">
      <c r="A46" s="39">
        <v>4</v>
      </c>
      <c r="B46" s="39">
        <v>102</v>
      </c>
      <c r="C46" s="3">
        <v>44</v>
      </c>
      <c r="D46" s="3" t="s">
        <v>351</v>
      </c>
      <c r="E46" s="1" t="s">
        <v>15</v>
      </c>
      <c r="F46" s="25" t="s">
        <v>29</v>
      </c>
      <c r="G46" s="21"/>
      <c r="H46" s="22" t="s">
        <v>17</v>
      </c>
      <c r="I46" s="22" t="s">
        <v>17</v>
      </c>
      <c r="J46" s="22" t="s">
        <v>17</v>
      </c>
      <c r="K46" s="22" t="s">
        <v>17</v>
      </c>
      <c r="L46" s="22" t="s">
        <v>17</v>
      </c>
      <c r="M46" s="21" t="s">
        <v>346</v>
      </c>
      <c r="N46" s="4">
        <v>1061</v>
      </c>
      <c r="Q46" s="6">
        <v>0.25855210819411201</v>
      </c>
      <c r="R46" s="36">
        <v>0.248851455</v>
      </c>
      <c r="S46">
        <v>582902</v>
      </c>
      <c r="T46">
        <v>981</v>
      </c>
      <c r="U46">
        <v>736</v>
      </c>
      <c r="V46">
        <v>325</v>
      </c>
      <c r="W46" s="4">
        <v>4</v>
      </c>
      <c r="AE46" s="39" t="s">
        <v>30</v>
      </c>
      <c r="AF46" s="42" t="s">
        <v>618</v>
      </c>
      <c r="AG46" s="39" t="s">
        <v>31</v>
      </c>
      <c r="AL46" s="3" t="s">
        <v>29</v>
      </c>
      <c r="AM46" s="1" t="s">
        <v>466</v>
      </c>
      <c r="AN46" s="21"/>
      <c r="AO46" s="1"/>
      <c r="AP46" s="3" t="s">
        <v>361</v>
      </c>
      <c r="AQ46" s="47" t="s">
        <v>362</v>
      </c>
      <c r="AR46" s="47"/>
      <c r="AS46" s="11"/>
    </row>
    <row r="47" spans="1:45">
      <c r="A47" s="39">
        <v>10</v>
      </c>
      <c r="B47" s="39">
        <v>103</v>
      </c>
      <c r="C47" s="3">
        <v>45</v>
      </c>
      <c r="D47" s="3" t="s">
        <v>351</v>
      </c>
      <c r="E47" s="1" t="s">
        <v>50</v>
      </c>
      <c r="F47" s="25" t="s">
        <v>63</v>
      </c>
      <c r="G47" s="21"/>
      <c r="H47" s="22" t="s">
        <v>17</v>
      </c>
      <c r="I47" s="22" t="s">
        <v>17</v>
      </c>
      <c r="J47" s="22" t="s">
        <v>17</v>
      </c>
      <c r="K47" s="22" t="s">
        <v>17</v>
      </c>
      <c r="L47" s="22" t="s">
        <v>17</v>
      </c>
      <c r="M47" s="21" t="s">
        <v>346</v>
      </c>
      <c r="N47" s="4">
        <v>28223</v>
      </c>
      <c r="Q47" s="6">
        <v>0.36778159041039599</v>
      </c>
      <c r="R47" s="36">
        <v>0.36046585799999997</v>
      </c>
      <c r="S47">
        <v>536678</v>
      </c>
      <c r="T47">
        <v>20043</v>
      </c>
      <c r="U47">
        <v>16926</v>
      </c>
      <c r="V47">
        <v>11297</v>
      </c>
      <c r="W47" s="4">
        <v>2</v>
      </c>
      <c r="AE47" s="39" t="s">
        <v>64</v>
      </c>
      <c r="AF47" s="42" t="s">
        <v>618</v>
      </c>
      <c r="AG47" s="39" t="s">
        <v>65</v>
      </c>
      <c r="AL47" s="3" t="s">
        <v>63</v>
      </c>
      <c r="AM47" s="1" t="s">
        <v>466</v>
      </c>
      <c r="AN47" s="21"/>
      <c r="AO47" s="1"/>
      <c r="AP47" s="3" t="s">
        <v>467</v>
      </c>
      <c r="AQ47" s="49" t="s">
        <v>468</v>
      </c>
      <c r="AR47" s="49"/>
      <c r="AS47" s="1"/>
    </row>
    <row r="48" spans="1:45">
      <c r="A48" s="39">
        <v>12</v>
      </c>
      <c r="B48" s="39">
        <v>104</v>
      </c>
      <c r="C48" s="3">
        <v>46</v>
      </c>
      <c r="D48" s="3" t="s">
        <v>351</v>
      </c>
      <c r="E48" s="1" t="s">
        <v>72</v>
      </c>
      <c r="F48" s="25" t="s">
        <v>72</v>
      </c>
      <c r="G48" s="21"/>
      <c r="H48" s="22" t="s">
        <v>17</v>
      </c>
      <c r="I48" s="22" t="s">
        <v>17</v>
      </c>
      <c r="J48" s="22" t="s">
        <v>17</v>
      </c>
      <c r="K48" s="22" t="s">
        <v>17</v>
      </c>
      <c r="L48" s="22" t="s">
        <v>17</v>
      </c>
      <c r="M48" s="21" t="s">
        <v>346</v>
      </c>
      <c r="N48" s="4">
        <v>60</v>
      </c>
      <c r="Q48" s="6">
        <v>0.66489361702127603</v>
      </c>
      <c r="R48" s="36">
        <v>0.78125</v>
      </c>
      <c r="S48">
        <v>584877</v>
      </c>
      <c r="T48">
        <v>7</v>
      </c>
      <c r="U48">
        <v>35</v>
      </c>
      <c r="V48">
        <v>25</v>
      </c>
      <c r="W48" s="4">
        <v>2</v>
      </c>
      <c r="AE48" s="39" t="s">
        <v>73</v>
      </c>
      <c r="AF48" s="42" t="s">
        <v>618</v>
      </c>
      <c r="AG48" s="39" t="s">
        <v>74</v>
      </c>
      <c r="AL48" s="3" t="s">
        <v>72</v>
      </c>
      <c r="AM48" s="1" t="s">
        <v>360</v>
      </c>
      <c r="AN48" s="21"/>
      <c r="AO48" s="1"/>
      <c r="AP48" s="3" t="s">
        <v>469</v>
      </c>
      <c r="AQ48" s="47" t="s">
        <v>470</v>
      </c>
      <c r="AR48" s="50" t="s">
        <v>471</v>
      </c>
      <c r="AS48" s="3" t="s">
        <v>472</v>
      </c>
    </row>
    <row r="49" spans="1:45">
      <c r="A49" s="39">
        <v>14</v>
      </c>
      <c r="B49" s="39">
        <v>105</v>
      </c>
      <c r="C49" s="3">
        <v>47</v>
      </c>
      <c r="D49" s="3" t="s">
        <v>351</v>
      </c>
      <c r="E49" s="1" t="s">
        <v>82</v>
      </c>
      <c r="F49" s="25" t="s">
        <v>83</v>
      </c>
      <c r="G49" s="21"/>
      <c r="H49" s="22" t="s">
        <v>17</v>
      </c>
      <c r="I49" s="22" t="s">
        <v>17</v>
      </c>
      <c r="J49" s="22" t="s">
        <v>17</v>
      </c>
      <c r="K49" s="22" t="s">
        <v>17</v>
      </c>
      <c r="L49" s="22" t="s">
        <v>17</v>
      </c>
      <c r="M49" s="21" t="s">
        <v>346</v>
      </c>
      <c r="N49" s="4">
        <v>500</v>
      </c>
      <c r="Q49" s="6">
        <v>0.70844686648501298</v>
      </c>
      <c r="R49" s="36">
        <v>0.85950413199999998</v>
      </c>
      <c r="S49">
        <v>584410</v>
      </c>
      <c r="T49">
        <v>34</v>
      </c>
      <c r="U49">
        <v>292</v>
      </c>
      <c r="V49">
        <v>208</v>
      </c>
      <c r="W49" s="4">
        <v>4</v>
      </c>
      <c r="AE49" s="39" t="s">
        <v>84</v>
      </c>
      <c r="AF49" s="42" t="s">
        <v>618</v>
      </c>
      <c r="AG49" s="39" t="s">
        <v>85</v>
      </c>
      <c r="AL49" s="3" t="s">
        <v>83</v>
      </c>
      <c r="AM49" s="1" t="s">
        <v>466</v>
      </c>
      <c r="AN49" s="21"/>
      <c r="AO49" s="1"/>
      <c r="AP49" s="3" t="s">
        <v>473</v>
      </c>
      <c r="AQ49" s="49" t="s">
        <v>474</v>
      </c>
      <c r="AR49" s="49"/>
      <c r="AS49" s="1"/>
    </row>
    <row r="50" spans="1:45">
      <c r="A50" s="39">
        <v>22</v>
      </c>
      <c r="B50" s="39">
        <v>106</v>
      </c>
      <c r="C50" s="3">
        <v>48</v>
      </c>
      <c r="D50" s="3" t="s">
        <v>352</v>
      </c>
      <c r="E50" s="1" t="s">
        <v>123</v>
      </c>
      <c r="F50" s="25" t="s">
        <v>539</v>
      </c>
      <c r="G50" s="21"/>
      <c r="H50" s="22" t="s">
        <v>17</v>
      </c>
      <c r="I50" s="22" t="s">
        <v>17</v>
      </c>
      <c r="J50" s="22" t="s">
        <v>17</v>
      </c>
      <c r="K50" s="22" t="s">
        <v>17</v>
      </c>
      <c r="L50" s="22" t="s">
        <v>17</v>
      </c>
      <c r="M50" s="21" t="s">
        <v>346</v>
      </c>
      <c r="N50" s="4">
        <v>28</v>
      </c>
      <c r="Q50" s="6">
        <v>0.72916666666666596</v>
      </c>
      <c r="R50" s="36">
        <v>0.82352941199999996</v>
      </c>
      <c r="S50">
        <v>584913</v>
      </c>
      <c r="T50">
        <v>3</v>
      </c>
      <c r="U50">
        <v>14</v>
      </c>
      <c r="V50">
        <v>14</v>
      </c>
      <c r="W50" s="4">
        <v>2</v>
      </c>
      <c r="AE50" s="39" t="s">
        <v>130</v>
      </c>
      <c r="AF50" s="42" t="s">
        <v>618</v>
      </c>
      <c r="AG50" s="39" t="s">
        <v>131</v>
      </c>
      <c r="AL50" s="3" t="s">
        <v>129</v>
      </c>
      <c r="AM50" s="1" t="s">
        <v>466</v>
      </c>
      <c r="AN50" s="21"/>
      <c r="AO50" s="1"/>
      <c r="AP50" s="3" t="s">
        <v>396</v>
      </c>
      <c r="AQ50" s="49" t="s">
        <v>475</v>
      </c>
      <c r="AR50" s="49"/>
      <c r="AS50" s="1"/>
    </row>
    <row r="51" spans="1:45">
      <c r="A51" s="39">
        <v>25</v>
      </c>
      <c r="B51" s="39">
        <v>107</v>
      </c>
      <c r="C51" s="3">
        <v>49</v>
      </c>
      <c r="D51" s="3" t="s">
        <v>353</v>
      </c>
      <c r="E51" s="1" t="s">
        <v>132</v>
      </c>
      <c r="F51" s="25" t="s">
        <v>145</v>
      </c>
      <c r="G51" s="21"/>
      <c r="H51" s="22" t="s">
        <v>17</v>
      </c>
      <c r="I51" s="22" t="s">
        <v>17</v>
      </c>
      <c r="J51" s="22" t="s">
        <v>17</v>
      </c>
      <c r="K51" s="22" t="s">
        <v>17</v>
      </c>
      <c r="L51" s="22" t="s">
        <v>17</v>
      </c>
      <c r="M51" s="21" t="s">
        <v>346</v>
      </c>
      <c r="N51" s="4">
        <v>276</v>
      </c>
      <c r="Q51" s="6">
        <v>0.60344827586206895</v>
      </c>
      <c r="R51" s="36">
        <v>0.92105263199999998</v>
      </c>
      <c r="S51">
        <v>584662</v>
      </c>
      <c r="T51">
        <v>6</v>
      </c>
      <c r="U51">
        <v>206</v>
      </c>
      <c r="V51">
        <v>70</v>
      </c>
      <c r="W51" s="4">
        <v>2</v>
      </c>
      <c r="AE51" s="39" t="s">
        <v>146</v>
      </c>
      <c r="AF51" s="42" t="s">
        <v>618</v>
      </c>
      <c r="AG51" s="39" t="s">
        <v>147</v>
      </c>
      <c r="AL51" s="3" t="s">
        <v>145</v>
      </c>
      <c r="AM51" s="1" t="s">
        <v>466</v>
      </c>
      <c r="AN51" s="21"/>
      <c r="AO51" s="1"/>
      <c r="AP51" s="3" t="s">
        <v>476</v>
      </c>
      <c r="AQ51" s="49" t="s">
        <v>477</v>
      </c>
      <c r="AR51" s="49"/>
      <c r="AS51" s="1"/>
    </row>
    <row r="52" spans="1:45" ht="17" customHeight="1">
      <c r="A52" s="39">
        <v>26</v>
      </c>
      <c r="B52" s="39">
        <v>108</v>
      </c>
      <c r="C52" s="3">
        <v>50</v>
      </c>
      <c r="D52" s="3" t="s">
        <v>353</v>
      </c>
      <c r="E52" s="1" t="s">
        <v>148</v>
      </c>
      <c r="F52" s="21" t="s">
        <v>149</v>
      </c>
      <c r="G52" s="21"/>
      <c r="H52" s="22" t="s">
        <v>17</v>
      </c>
      <c r="I52" s="22" t="s">
        <v>17</v>
      </c>
      <c r="J52" s="22" t="s">
        <v>17</v>
      </c>
      <c r="K52" s="22" t="s">
        <v>17</v>
      </c>
      <c r="L52" s="22" t="s">
        <v>17</v>
      </c>
      <c r="M52" s="21" t="s">
        <v>346</v>
      </c>
      <c r="N52" s="4">
        <v>1573</v>
      </c>
      <c r="Q52" s="6">
        <v>0.57800374632057805</v>
      </c>
      <c r="R52" s="36">
        <v>0.79852125699999998</v>
      </c>
      <c r="S52">
        <v>583262</v>
      </c>
      <c r="T52">
        <v>109</v>
      </c>
      <c r="U52">
        <v>1141</v>
      </c>
      <c r="V52">
        <v>432</v>
      </c>
      <c r="W52" s="4">
        <v>2</v>
      </c>
      <c r="AE52" s="39" t="s">
        <v>151</v>
      </c>
      <c r="AF52" s="42" t="s">
        <v>618</v>
      </c>
      <c r="AG52" s="39" t="s">
        <v>153</v>
      </c>
      <c r="AL52" s="3" t="s">
        <v>149</v>
      </c>
      <c r="AM52" s="1" t="s">
        <v>360</v>
      </c>
      <c r="AN52" s="21"/>
      <c r="AO52" s="1"/>
      <c r="AP52" s="3" t="s">
        <v>529</v>
      </c>
      <c r="AQ52" s="47" t="s">
        <v>530</v>
      </c>
      <c r="AR52" s="50" t="s">
        <v>531</v>
      </c>
      <c r="AS52" s="3" t="s">
        <v>532</v>
      </c>
    </row>
    <row r="53" spans="1:45" s="42" customFormat="1">
      <c r="A53" s="39">
        <v>29</v>
      </c>
      <c r="B53" s="39">
        <v>109</v>
      </c>
      <c r="C53" s="39">
        <v>51</v>
      </c>
      <c r="D53" s="39" t="s">
        <v>353</v>
      </c>
      <c r="E53" s="42" t="s">
        <v>167</v>
      </c>
      <c r="F53" s="39" t="s">
        <v>168</v>
      </c>
      <c r="G53" s="21"/>
      <c r="H53" s="55" t="s">
        <v>17</v>
      </c>
      <c r="I53" s="55" t="s">
        <v>17</v>
      </c>
      <c r="J53" s="55" t="s">
        <v>17</v>
      </c>
      <c r="K53" s="55" t="s">
        <v>17</v>
      </c>
      <c r="L53" s="55" t="s">
        <v>17</v>
      </c>
      <c r="M53" s="42" t="s">
        <v>346</v>
      </c>
      <c r="N53" s="56">
        <v>556</v>
      </c>
      <c r="P53" s="7"/>
      <c r="Q53" s="6">
        <v>0.58333333333333304</v>
      </c>
      <c r="R53" s="57">
        <v>0.72509960200000001</v>
      </c>
      <c r="S53" s="58">
        <v>584319</v>
      </c>
      <c r="T53" s="58">
        <v>69</v>
      </c>
      <c r="U53" s="58">
        <v>374</v>
      </c>
      <c r="V53" s="58">
        <v>182</v>
      </c>
      <c r="W53" s="56">
        <v>2</v>
      </c>
      <c r="X53" s="7"/>
      <c r="Y53" s="7"/>
      <c r="Z53" s="7"/>
      <c r="AA53" s="7"/>
      <c r="AB53" s="7"/>
      <c r="AC53" s="58"/>
      <c r="AE53" s="39" t="s">
        <v>169</v>
      </c>
      <c r="AF53" s="42" t="s">
        <v>618</v>
      </c>
      <c r="AG53" s="39" t="s">
        <v>170</v>
      </c>
      <c r="AL53" s="39" t="s">
        <v>168</v>
      </c>
      <c r="AM53" s="42" t="s">
        <v>365</v>
      </c>
      <c r="AN53" s="21"/>
      <c r="AP53" s="3" t="s">
        <v>478</v>
      </c>
      <c r="AQ53" s="47" t="s">
        <v>479</v>
      </c>
      <c r="AR53" s="47"/>
      <c r="AS53" s="59"/>
    </row>
    <row r="54" spans="1:45">
      <c r="A54" s="39">
        <v>36</v>
      </c>
      <c r="B54" s="39">
        <v>110</v>
      </c>
      <c r="C54" s="3">
        <v>52</v>
      </c>
      <c r="D54" s="3" t="s">
        <v>352</v>
      </c>
      <c r="E54" s="1" t="s">
        <v>207</v>
      </c>
      <c r="F54" s="25" t="s">
        <v>540</v>
      </c>
      <c r="G54" s="21"/>
      <c r="H54" s="22" t="s">
        <v>543</v>
      </c>
      <c r="I54" s="22" t="s">
        <v>17</v>
      </c>
      <c r="J54" s="22" t="s">
        <v>17</v>
      </c>
      <c r="K54" s="22" t="s">
        <v>17</v>
      </c>
      <c r="L54" s="22" t="s">
        <v>17</v>
      </c>
      <c r="M54" s="21" t="s">
        <v>346</v>
      </c>
      <c r="N54" s="4">
        <v>566</v>
      </c>
      <c r="Q54" s="6">
        <v>0.42116630669546401</v>
      </c>
      <c r="R54" s="36">
        <v>0.86666666699999995</v>
      </c>
      <c r="S54">
        <v>584366</v>
      </c>
      <c r="T54">
        <v>12</v>
      </c>
      <c r="U54">
        <v>488</v>
      </c>
      <c r="V54">
        <v>78</v>
      </c>
      <c r="W54" s="4">
        <v>2</v>
      </c>
      <c r="AE54" s="39" t="s">
        <v>209</v>
      </c>
      <c r="AF54" s="42" t="s">
        <v>618</v>
      </c>
      <c r="AG54" s="39" t="s">
        <v>210</v>
      </c>
      <c r="AL54" s="3" t="s">
        <v>208</v>
      </c>
      <c r="AM54" s="1" t="s">
        <v>365</v>
      </c>
      <c r="AN54" s="21"/>
      <c r="AO54" s="1"/>
      <c r="AP54" s="3" t="s">
        <v>396</v>
      </c>
      <c r="AQ54" s="49" t="s">
        <v>475</v>
      </c>
      <c r="AR54" s="49"/>
      <c r="AS54" s="1"/>
    </row>
    <row r="55" spans="1:45">
      <c r="A55" s="39">
        <v>40</v>
      </c>
      <c r="B55" s="39">
        <v>111</v>
      </c>
      <c r="C55" s="3">
        <v>53</v>
      </c>
      <c r="D55" s="3" t="s">
        <v>354</v>
      </c>
      <c r="E55" s="1" t="s">
        <v>223</v>
      </c>
      <c r="F55" s="25" t="s">
        <v>230</v>
      </c>
      <c r="G55" s="21"/>
      <c r="H55" s="22" t="s">
        <v>17</v>
      </c>
      <c r="I55" s="22" t="s">
        <v>17</v>
      </c>
      <c r="J55" s="22" t="s">
        <v>17</v>
      </c>
      <c r="K55" s="22" t="s">
        <v>17</v>
      </c>
      <c r="L55" s="22" t="s">
        <v>17</v>
      </c>
      <c r="M55" s="21" t="s">
        <v>346</v>
      </c>
      <c r="N55" s="4">
        <v>4600</v>
      </c>
      <c r="Q55" s="6">
        <v>0.65508201129335797</v>
      </c>
      <c r="R55" s="36">
        <v>0.758660958</v>
      </c>
      <c r="S55">
        <v>579724</v>
      </c>
      <c r="T55">
        <v>620</v>
      </c>
      <c r="U55">
        <v>2651</v>
      </c>
      <c r="V55">
        <v>1949</v>
      </c>
      <c r="W55" s="4">
        <v>2</v>
      </c>
      <c r="AE55" s="39" t="s">
        <v>231</v>
      </c>
      <c r="AF55" s="42" t="s">
        <v>618</v>
      </c>
      <c r="AG55" s="39" t="s">
        <v>232</v>
      </c>
      <c r="AL55" s="3" t="s">
        <v>230</v>
      </c>
      <c r="AM55" s="1" t="s">
        <v>360</v>
      </c>
      <c r="AN55" s="21"/>
      <c r="AO55" s="1"/>
      <c r="AP55" s="3" t="s">
        <v>480</v>
      </c>
      <c r="AQ55" s="47" t="s">
        <v>481</v>
      </c>
      <c r="AR55" s="50" t="s">
        <v>482</v>
      </c>
      <c r="AS55" s="3" t="s">
        <v>427</v>
      </c>
    </row>
    <row r="56" spans="1:45">
      <c r="A56" s="39">
        <v>44</v>
      </c>
      <c r="B56" s="39">
        <v>112</v>
      </c>
      <c r="C56" s="3">
        <v>54</v>
      </c>
      <c r="D56" s="3" t="s">
        <v>354</v>
      </c>
      <c r="E56" s="1" t="s">
        <v>241</v>
      </c>
      <c r="F56" s="25" t="s">
        <v>247</v>
      </c>
      <c r="G56" s="21"/>
      <c r="H56" s="22" t="s">
        <v>17</v>
      </c>
      <c r="I56" s="22" t="s">
        <v>17</v>
      </c>
      <c r="J56" s="22" t="s">
        <v>17</v>
      </c>
      <c r="K56" s="22" t="s">
        <v>17</v>
      </c>
      <c r="L56" s="22" t="s">
        <v>17</v>
      </c>
      <c r="M56" s="21" t="s">
        <v>346</v>
      </c>
      <c r="N56" s="4">
        <v>1472</v>
      </c>
      <c r="Q56" s="6">
        <v>0.91962242562928997</v>
      </c>
      <c r="R56" s="36">
        <v>0.93188405799999996</v>
      </c>
      <c r="S56">
        <v>583378</v>
      </c>
      <c r="T56">
        <v>94</v>
      </c>
      <c r="U56">
        <v>186</v>
      </c>
      <c r="V56">
        <v>1286</v>
      </c>
      <c r="W56" s="4">
        <v>1</v>
      </c>
      <c r="AE56" s="39" t="s">
        <v>248</v>
      </c>
      <c r="AF56" s="42" t="s">
        <v>618</v>
      </c>
      <c r="AG56" s="39" t="s">
        <v>249</v>
      </c>
      <c r="AL56" s="3" t="s">
        <v>483</v>
      </c>
      <c r="AM56" s="1" t="s">
        <v>365</v>
      </c>
      <c r="AN56" s="21"/>
      <c r="AO56" s="1"/>
      <c r="AP56" s="3" t="s">
        <v>484</v>
      </c>
      <c r="AQ56" s="49" t="s">
        <v>485</v>
      </c>
      <c r="AR56" s="49"/>
      <c r="AS56" s="1"/>
    </row>
    <row r="57" spans="1:45" ht="17" thickBot="1">
      <c r="A57" s="39">
        <v>47</v>
      </c>
      <c r="B57" s="39">
        <v>113</v>
      </c>
      <c r="C57" s="3">
        <v>55</v>
      </c>
      <c r="D57" s="3" t="s">
        <v>354</v>
      </c>
      <c r="E57" s="1" t="s">
        <v>256</v>
      </c>
      <c r="F57" s="25" t="s">
        <v>263</v>
      </c>
      <c r="G57" s="21"/>
      <c r="H57" s="22" t="s">
        <v>17</v>
      </c>
      <c r="I57" s="22" t="s">
        <v>17</v>
      </c>
      <c r="J57" s="22" t="s">
        <v>17</v>
      </c>
      <c r="K57" s="22" t="s">
        <v>17</v>
      </c>
      <c r="L57" s="22" t="s">
        <v>17</v>
      </c>
      <c r="M57" s="21" t="s">
        <v>346</v>
      </c>
      <c r="N57" s="4">
        <v>976</v>
      </c>
      <c r="Q57" s="6">
        <v>0.61020710059171601</v>
      </c>
      <c r="R57" s="36">
        <v>0.76388888899999996</v>
      </c>
      <c r="S57">
        <v>583866</v>
      </c>
      <c r="T57">
        <v>102</v>
      </c>
      <c r="U57">
        <v>646</v>
      </c>
      <c r="V57">
        <v>330</v>
      </c>
      <c r="W57" s="4">
        <v>3</v>
      </c>
      <c r="AE57" s="39" t="s">
        <v>264</v>
      </c>
      <c r="AF57" s="42" t="s">
        <v>618</v>
      </c>
      <c r="AG57" s="39" t="s">
        <v>265</v>
      </c>
      <c r="AL57" s="3" t="s">
        <v>263</v>
      </c>
      <c r="AM57" s="1" t="s">
        <v>466</v>
      </c>
      <c r="AN57" s="21"/>
      <c r="AO57" s="1"/>
      <c r="AP57" s="3" t="s">
        <v>443</v>
      </c>
      <c r="AQ57" s="49" t="s">
        <v>486</v>
      </c>
      <c r="AR57" s="49"/>
      <c r="AS57" s="1"/>
    </row>
    <row r="58" spans="1:45" ht="17" thickBot="1">
      <c r="A58" s="39">
        <v>48</v>
      </c>
      <c r="B58" s="39">
        <v>114</v>
      </c>
      <c r="C58" s="3">
        <v>56</v>
      </c>
      <c r="D58" s="3" t="s">
        <v>354</v>
      </c>
      <c r="E58" s="1" t="s">
        <v>256</v>
      </c>
      <c r="F58" s="35" t="s">
        <v>266</v>
      </c>
      <c r="G58" s="21"/>
      <c r="H58" s="22" t="s">
        <v>601</v>
      </c>
      <c r="I58" s="22" t="s">
        <v>17</v>
      </c>
      <c r="J58" s="22" t="s">
        <v>17</v>
      </c>
      <c r="K58" s="22" t="s">
        <v>17</v>
      </c>
      <c r="L58" s="22" t="s">
        <v>17</v>
      </c>
      <c r="M58" s="21" t="s">
        <v>346</v>
      </c>
      <c r="N58" s="4">
        <v>1440</v>
      </c>
      <c r="Q58" s="6">
        <v>0.27637283236994198</v>
      </c>
      <c r="R58" s="36">
        <v>0.460843373</v>
      </c>
      <c r="S58">
        <v>583325</v>
      </c>
      <c r="T58">
        <v>179</v>
      </c>
      <c r="U58">
        <v>1287</v>
      </c>
      <c r="V58">
        <v>153</v>
      </c>
      <c r="W58" s="4">
        <v>3</v>
      </c>
      <c r="AE58" s="43" t="s">
        <v>602</v>
      </c>
      <c r="AF58" s="42" t="s">
        <v>618</v>
      </c>
      <c r="AG58" s="43" t="s">
        <v>603</v>
      </c>
      <c r="AL58" s="3" t="s">
        <v>266</v>
      </c>
      <c r="AM58" s="1" t="s">
        <v>466</v>
      </c>
      <c r="AN58" s="21"/>
      <c r="AO58" s="1"/>
      <c r="AP58" s="3" t="s">
        <v>518</v>
      </c>
      <c r="AQ58" s="49" t="s">
        <v>519</v>
      </c>
      <c r="AR58" s="49"/>
      <c r="AS58" s="1"/>
    </row>
    <row r="59" spans="1:45">
      <c r="A59" s="39">
        <v>51</v>
      </c>
      <c r="B59" s="39">
        <v>115</v>
      </c>
      <c r="C59" s="3">
        <v>57</v>
      </c>
      <c r="D59" s="3" t="s">
        <v>354</v>
      </c>
      <c r="E59" s="1" t="s">
        <v>270</v>
      </c>
      <c r="F59" s="25" t="s">
        <v>274</v>
      </c>
      <c r="G59" s="21"/>
      <c r="H59" s="22" t="s">
        <v>17</v>
      </c>
      <c r="I59" s="22" t="s">
        <v>17</v>
      </c>
      <c r="J59" s="22" t="s">
        <v>341</v>
      </c>
      <c r="K59" s="22" t="s">
        <v>17</v>
      </c>
      <c r="L59" s="22" t="s">
        <v>17</v>
      </c>
      <c r="M59" s="21" t="s">
        <v>346</v>
      </c>
      <c r="N59" s="4">
        <v>35833</v>
      </c>
      <c r="Q59" s="6">
        <v>0.806904282977014</v>
      </c>
      <c r="R59" s="36">
        <v>0.90269500999999996</v>
      </c>
      <c r="S59">
        <v>546923</v>
      </c>
      <c r="T59">
        <v>2188</v>
      </c>
      <c r="U59">
        <v>15535</v>
      </c>
      <c r="V59">
        <v>20298</v>
      </c>
      <c r="W59" s="4">
        <v>2</v>
      </c>
      <c r="AE59" s="39" t="s">
        <v>275</v>
      </c>
      <c r="AF59" s="42" t="s">
        <v>618</v>
      </c>
      <c r="AG59" s="39" t="s">
        <v>276</v>
      </c>
      <c r="AL59" s="3" t="s">
        <v>525</v>
      </c>
      <c r="AM59" s="1" t="s">
        <v>360</v>
      </c>
      <c r="AN59" s="21"/>
      <c r="AO59" s="1"/>
      <c r="AP59" s="3" t="s">
        <v>526</v>
      </c>
      <c r="AQ59" s="47" t="s">
        <v>527</v>
      </c>
      <c r="AR59" s="50" t="s">
        <v>528</v>
      </c>
      <c r="AS59" s="3" t="s">
        <v>427</v>
      </c>
    </row>
    <row r="60" spans="1:45">
      <c r="A60" s="39">
        <v>50</v>
      </c>
      <c r="B60" s="39">
        <v>116</v>
      </c>
      <c r="C60" s="3">
        <v>58</v>
      </c>
      <c r="D60" s="3" t="s">
        <v>354</v>
      </c>
      <c r="E60" s="1" t="s">
        <v>270</v>
      </c>
      <c r="F60" s="25" t="s">
        <v>271</v>
      </c>
      <c r="G60" s="21"/>
      <c r="H60" s="22" t="s">
        <v>17</v>
      </c>
      <c r="I60" s="22" t="s">
        <v>17</v>
      </c>
      <c r="J60" s="22" t="s">
        <v>17</v>
      </c>
      <c r="K60" s="22" t="s">
        <v>17</v>
      </c>
      <c r="L60" s="22" t="s">
        <v>17</v>
      </c>
      <c r="M60" s="21" t="s">
        <v>346</v>
      </c>
      <c r="N60" s="4">
        <v>26068</v>
      </c>
      <c r="Q60" s="6">
        <v>0.43352728944855101</v>
      </c>
      <c r="R60" s="36">
        <v>0.450721706</v>
      </c>
      <c r="S60">
        <v>546927</v>
      </c>
      <c r="T60">
        <v>11949</v>
      </c>
      <c r="U60">
        <v>16263</v>
      </c>
      <c r="V60">
        <v>9805</v>
      </c>
      <c r="W60" s="4">
        <v>2</v>
      </c>
      <c r="AE60" s="39" t="s">
        <v>272</v>
      </c>
      <c r="AF60" s="42" t="s">
        <v>618</v>
      </c>
      <c r="AG60" s="39" t="s">
        <v>273</v>
      </c>
      <c r="AL60" s="3" t="s">
        <v>487</v>
      </c>
      <c r="AM60" s="1" t="s">
        <v>466</v>
      </c>
      <c r="AN60" s="21"/>
      <c r="AO60" s="1"/>
      <c r="AP60" s="3" t="s">
        <v>488</v>
      </c>
      <c r="AQ60" s="49" t="s">
        <v>489</v>
      </c>
      <c r="AR60" s="49"/>
      <c r="AS60" s="1"/>
    </row>
    <row r="61" spans="1:45">
      <c r="A61" s="39">
        <v>52</v>
      </c>
      <c r="B61" s="39">
        <v>117</v>
      </c>
      <c r="C61" s="3">
        <v>59</v>
      </c>
      <c r="D61" s="3" t="s">
        <v>354</v>
      </c>
      <c r="E61" s="1" t="s">
        <v>270</v>
      </c>
      <c r="F61" s="25" t="s">
        <v>277</v>
      </c>
      <c r="G61" s="21"/>
      <c r="H61" s="22" t="s">
        <v>17</v>
      </c>
      <c r="I61" s="22" t="s">
        <v>17</v>
      </c>
      <c r="J61" s="22" t="s">
        <v>17</v>
      </c>
      <c r="K61" s="22" t="s">
        <v>17</v>
      </c>
      <c r="L61" s="22" t="s">
        <v>17</v>
      </c>
      <c r="M61" s="21" t="s">
        <v>346</v>
      </c>
      <c r="N61" s="4">
        <v>1670</v>
      </c>
      <c r="Q61" s="6">
        <v>0.55425219941348902</v>
      </c>
      <c r="R61" s="36">
        <v>0.86896551700000002</v>
      </c>
      <c r="S61">
        <v>583217</v>
      </c>
      <c r="T61">
        <v>57</v>
      </c>
      <c r="U61">
        <v>1292</v>
      </c>
      <c r="V61">
        <v>378</v>
      </c>
      <c r="W61" s="4">
        <v>2</v>
      </c>
      <c r="AE61" s="39" t="s">
        <v>278</v>
      </c>
      <c r="AF61" s="42" t="s">
        <v>618</v>
      </c>
      <c r="AG61" s="39" t="s">
        <v>279</v>
      </c>
      <c r="AL61" s="3" t="s">
        <v>277</v>
      </c>
      <c r="AM61" s="1" t="s">
        <v>360</v>
      </c>
      <c r="AN61" s="21"/>
      <c r="AO61" s="1"/>
      <c r="AP61" s="3" t="s">
        <v>490</v>
      </c>
      <c r="AQ61" s="47" t="s">
        <v>491</v>
      </c>
      <c r="AR61" s="50" t="s">
        <v>492</v>
      </c>
      <c r="AS61" s="3" t="s">
        <v>427</v>
      </c>
    </row>
    <row r="62" spans="1:45">
      <c r="A62" s="39">
        <v>53</v>
      </c>
      <c r="B62" s="39">
        <v>118</v>
      </c>
      <c r="C62" s="3">
        <v>60</v>
      </c>
      <c r="D62" s="3" t="s">
        <v>354</v>
      </c>
      <c r="E62" s="1" t="s">
        <v>270</v>
      </c>
      <c r="F62" s="25" t="s">
        <v>280</v>
      </c>
      <c r="G62" s="21"/>
      <c r="H62" s="22" t="s">
        <v>17</v>
      </c>
      <c r="I62" s="22" t="s">
        <v>17</v>
      </c>
      <c r="J62" s="22" t="s">
        <v>17</v>
      </c>
      <c r="K62" s="22" t="s">
        <v>17</v>
      </c>
      <c r="L62" s="22" t="s">
        <v>17</v>
      </c>
      <c r="M62" s="21" t="s">
        <v>346</v>
      </c>
      <c r="N62" s="4">
        <v>968</v>
      </c>
      <c r="Q62" s="6">
        <v>0.60838445807770902</v>
      </c>
      <c r="R62" s="36">
        <v>0.96356275300000005</v>
      </c>
      <c r="S62">
        <v>583967</v>
      </c>
      <c r="T62">
        <v>9</v>
      </c>
      <c r="U62">
        <v>730</v>
      </c>
      <c r="V62">
        <v>238</v>
      </c>
      <c r="W62" s="4">
        <v>2</v>
      </c>
      <c r="AE62" s="39" t="s">
        <v>281</v>
      </c>
      <c r="AF62" s="42" t="s">
        <v>618</v>
      </c>
      <c r="AG62" s="39" t="s">
        <v>282</v>
      </c>
      <c r="AL62" s="3" t="s">
        <v>280</v>
      </c>
      <c r="AM62" s="1" t="s">
        <v>365</v>
      </c>
      <c r="AN62" s="21"/>
      <c r="AO62" s="1"/>
      <c r="AP62" s="3" t="s">
        <v>493</v>
      </c>
      <c r="AQ62" s="49" t="s">
        <v>494</v>
      </c>
      <c r="AR62" s="49"/>
      <c r="AS62" s="1"/>
    </row>
    <row r="63" spans="1:45">
      <c r="A63" s="39">
        <v>60</v>
      </c>
      <c r="B63" s="39">
        <v>119</v>
      </c>
      <c r="C63" s="3">
        <v>61</v>
      </c>
      <c r="D63" s="3" t="s">
        <v>354</v>
      </c>
      <c r="E63" s="1" t="s">
        <v>607</v>
      </c>
      <c r="F63" s="25" t="s">
        <v>312</v>
      </c>
      <c r="G63" s="21"/>
      <c r="H63" s="22" t="s">
        <v>17</v>
      </c>
      <c r="I63" s="22" t="s">
        <v>17</v>
      </c>
      <c r="J63" s="22" t="s">
        <v>17</v>
      </c>
      <c r="K63" s="22" t="s">
        <v>17</v>
      </c>
      <c r="L63" s="22" t="s">
        <v>17</v>
      </c>
      <c r="M63" s="21" t="s">
        <v>346</v>
      </c>
      <c r="N63" s="4">
        <v>4869</v>
      </c>
      <c r="Q63" s="6">
        <v>0.58756054040275296</v>
      </c>
      <c r="R63" s="36">
        <v>0.80173912999999997</v>
      </c>
      <c r="S63">
        <v>579733</v>
      </c>
      <c r="T63">
        <v>342</v>
      </c>
      <c r="U63">
        <v>3486</v>
      </c>
      <c r="V63">
        <v>1383</v>
      </c>
      <c r="W63" s="4">
        <v>3</v>
      </c>
      <c r="AE63" s="39" t="s">
        <v>313</v>
      </c>
      <c r="AF63" s="42" t="s">
        <v>618</v>
      </c>
      <c r="AG63" s="39" t="s">
        <v>314</v>
      </c>
      <c r="AL63" s="3" t="s">
        <v>495</v>
      </c>
      <c r="AM63" s="1" t="s">
        <v>365</v>
      </c>
      <c r="AN63" s="21"/>
      <c r="AO63" s="1"/>
      <c r="AP63" s="3" t="s">
        <v>456</v>
      </c>
      <c r="AQ63" s="47" t="s">
        <v>457</v>
      </c>
      <c r="AR63" s="47"/>
      <c r="AS63" s="11"/>
    </row>
    <row r="64" spans="1:45">
      <c r="A64" s="39"/>
      <c r="B64" s="39">
        <v>5</v>
      </c>
      <c r="C64" s="3">
        <v>62</v>
      </c>
      <c r="D64" s="3" t="s">
        <v>351</v>
      </c>
      <c r="F64" s="21"/>
      <c r="G64" s="13" t="s">
        <v>330</v>
      </c>
      <c r="H64" s="14" t="s">
        <v>17</v>
      </c>
      <c r="I64" s="14" t="s">
        <v>345</v>
      </c>
      <c r="J64" s="14" t="s">
        <v>345</v>
      </c>
      <c r="K64" s="14" t="s">
        <v>345</v>
      </c>
      <c r="L64" s="14" t="s">
        <v>17</v>
      </c>
      <c r="M64" s="13" t="s">
        <v>348</v>
      </c>
      <c r="O64" s="1">
        <v>246</v>
      </c>
      <c r="X64" s="7">
        <v>0.81308411214953302</v>
      </c>
      <c r="Y64" s="36">
        <v>0.84466019417475702</v>
      </c>
      <c r="Z64">
        <v>347692</v>
      </c>
      <c r="AA64">
        <v>32</v>
      </c>
      <c r="AB64">
        <v>72</v>
      </c>
      <c r="AC64">
        <v>174</v>
      </c>
      <c r="AD64" s="1">
        <v>1</v>
      </c>
      <c r="AE64" s="42" t="s">
        <v>618</v>
      </c>
      <c r="AF64" s="42" t="s">
        <v>331</v>
      </c>
      <c r="AH64" s="1" t="s">
        <v>332</v>
      </c>
      <c r="AN64" s="13" t="s">
        <v>330</v>
      </c>
    </row>
    <row r="65" spans="1:49" ht="17" thickBot="1">
      <c r="A65" s="39"/>
      <c r="B65" s="39">
        <v>9</v>
      </c>
      <c r="C65" s="3">
        <v>63</v>
      </c>
      <c r="D65" s="3" t="s">
        <v>351</v>
      </c>
      <c r="F65" s="21"/>
      <c r="G65" s="13" t="s">
        <v>324</v>
      </c>
      <c r="H65" s="14" t="s">
        <v>17</v>
      </c>
      <c r="I65" s="14" t="s">
        <v>17</v>
      </c>
      <c r="J65" s="14" t="s">
        <v>541</v>
      </c>
      <c r="K65" s="14" t="s">
        <v>343</v>
      </c>
      <c r="L65" s="14" t="s">
        <v>17</v>
      </c>
      <c r="M65" s="13" t="s">
        <v>348</v>
      </c>
      <c r="O65" s="1">
        <v>41</v>
      </c>
      <c r="X65" s="7">
        <v>0.939393939393939</v>
      </c>
      <c r="Y65" s="36">
        <v>1</v>
      </c>
      <c r="Z65">
        <v>347929</v>
      </c>
      <c r="AA65">
        <v>0</v>
      </c>
      <c r="AB65">
        <v>10</v>
      </c>
      <c r="AC65">
        <v>31</v>
      </c>
      <c r="AD65" s="1">
        <v>2</v>
      </c>
      <c r="AE65" s="42" t="s">
        <v>618</v>
      </c>
      <c r="AF65" s="42" t="s">
        <v>325</v>
      </c>
      <c r="AH65" s="1" t="s">
        <v>326</v>
      </c>
      <c r="AN65" s="13" t="s">
        <v>324</v>
      </c>
    </row>
    <row r="66" spans="1:49" ht="17" thickBot="1">
      <c r="A66" s="39"/>
      <c r="B66" s="39">
        <v>13</v>
      </c>
      <c r="C66" s="3">
        <v>64</v>
      </c>
      <c r="D66" s="3" t="s">
        <v>351</v>
      </c>
      <c r="F66" s="21"/>
      <c r="G66" s="15" t="s">
        <v>334</v>
      </c>
      <c r="H66" s="14" t="s">
        <v>536</v>
      </c>
      <c r="I66" s="14" t="s">
        <v>536</v>
      </c>
      <c r="J66" s="14" t="s">
        <v>536</v>
      </c>
      <c r="K66" s="14" t="s">
        <v>536</v>
      </c>
      <c r="L66" s="14" t="s">
        <v>536</v>
      </c>
      <c r="M66" s="13" t="s">
        <v>348</v>
      </c>
      <c r="O66" s="1">
        <v>252</v>
      </c>
      <c r="X66" s="7">
        <v>0.60661764705882304</v>
      </c>
      <c r="Y66" s="36">
        <v>0.90410958904109595</v>
      </c>
      <c r="Z66">
        <v>347711</v>
      </c>
      <c r="AA66">
        <v>7</v>
      </c>
      <c r="AB66">
        <v>186</v>
      </c>
      <c r="AC66">
        <v>66</v>
      </c>
      <c r="AD66" s="1">
        <v>2</v>
      </c>
      <c r="AE66" s="42" t="s">
        <v>618</v>
      </c>
      <c r="AF66" s="42" t="s">
        <v>335</v>
      </c>
      <c r="AH66" s="1" t="s">
        <v>336</v>
      </c>
      <c r="AN66" s="15" t="s">
        <v>334</v>
      </c>
    </row>
    <row r="67" spans="1:49">
      <c r="A67" s="39"/>
      <c r="B67" s="39">
        <v>14</v>
      </c>
      <c r="C67" s="3">
        <v>65</v>
      </c>
      <c r="D67" s="3" t="s">
        <v>351</v>
      </c>
      <c r="F67" s="21"/>
      <c r="G67" s="13" t="s">
        <v>321</v>
      </c>
      <c r="H67" s="14" t="s">
        <v>17</v>
      </c>
      <c r="I67" s="14" t="s">
        <v>342</v>
      </c>
      <c r="J67" s="14" t="s">
        <v>17</v>
      </c>
      <c r="K67" s="14" t="s">
        <v>17</v>
      </c>
      <c r="L67" s="14" t="s">
        <v>536</v>
      </c>
      <c r="M67" s="13" t="s">
        <v>348</v>
      </c>
      <c r="O67" s="1">
        <v>14</v>
      </c>
      <c r="X67" s="7">
        <v>0.38461538461538403</v>
      </c>
      <c r="Y67" s="36">
        <v>0.66666666666666696</v>
      </c>
      <c r="Z67">
        <v>347955</v>
      </c>
      <c r="AA67">
        <v>1</v>
      </c>
      <c r="AB67">
        <v>12</v>
      </c>
      <c r="AC67">
        <v>2</v>
      </c>
      <c r="AD67" s="1">
        <v>3</v>
      </c>
      <c r="AE67" s="42" t="s">
        <v>618</v>
      </c>
      <c r="AF67" s="42" t="s">
        <v>322</v>
      </c>
      <c r="AH67" s="1" t="s">
        <v>323</v>
      </c>
      <c r="AN67" s="13" t="s">
        <v>321</v>
      </c>
    </row>
    <row r="68" spans="1:49">
      <c r="A68" s="39"/>
      <c r="B68" s="39">
        <v>23</v>
      </c>
      <c r="C68" s="3">
        <v>66</v>
      </c>
      <c r="D68" s="3" t="s">
        <v>353</v>
      </c>
      <c r="E68" s="3"/>
      <c r="F68" s="21"/>
      <c r="G68" s="13" t="s">
        <v>150</v>
      </c>
      <c r="H68" s="26" t="s">
        <v>535</v>
      </c>
      <c r="I68" s="14" t="s">
        <v>17</v>
      </c>
      <c r="J68" s="14" t="s">
        <v>17</v>
      </c>
      <c r="K68" s="14" t="s">
        <v>17</v>
      </c>
      <c r="L68" s="26" t="s">
        <v>535</v>
      </c>
      <c r="M68" s="13" t="s">
        <v>348</v>
      </c>
      <c r="N68" s="4"/>
      <c r="O68" s="1">
        <v>6</v>
      </c>
      <c r="P68" s="1"/>
      <c r="Q68" s="6"/>
      <c r="R68" s="5"/>
      <c r="S68" s="5"/>
      <c r="T68" s="5"/>
      <c r="U68" s="5"/>
      <c r="V68" s="5"/>
      <c r="W68" s="1"/>
      <c r="X68" s="7">
        <v>0.90909090909090895</v>
      </c>
      <c r="Y68" s="36">
        <v>1</v>
      </c>
      <c r="Z68">
        <v>347964</v>
      </c>
      <c r="AA68">
        <v>0</v>
      </c>
      <c r="AB68">
        <v>2</v>
      </c>
      <c r="AC68">
        <v>4</v>
      </c>
      <c r="AD68" s="1">
        <v>1</v>
      </c>
      <c r="AE68" s="42" t="s">
        <v>618</v>
      </c>
      <c r="AF68" s="42" t="s">
        <v>152</v>
      </c>
      <c r="AH68" s="1" t="s">
        <v>154</v>
      </c>
      <c r="AM68" s="1"/>
      <c r="AN68" s="13" t="s">
        <v>150</v>
      </c>
      <c r="AO68" s="1"/>
      <c r="AQ68" s="47"/>
      <c r="AR68" s="47"/>
      <c r="AS68" s="11"/>
      <c r="AT68" s="9"/>
      <c r="AU68" s="3"/>
      <c r="AV68" s="9"/>
      <c r="AW68" s="3"/>
    </row>
    <row r="69" spans="1:49" ht="17" thickBot="1">
      <c r="A69" s="39"/>
      <c r="B69" s="39">
        <v>33</v>
      </c>
      <c r="C69" s="3">
        <v>67</v>
      </c>
      <c r="D69" s="3" t="s">
        <v>354</v>
      </c>
      <c r="F69" s="21"/>
      <c r="G69" s="13" t="s">
        <v>327</v>
      </c>
      <c r="H69" s="14" t="s">
        <v>17</v>
      </c>
      <c r="I69" s="14" t="s">
        <v>344</v>
      </c>
      <c r="J69" s="14" t="s">
        <v>344</v>
      </c>
      <c r="K69" s="14" t="s">
        <v>344</v>
      </c>
      <c r="L69" s="14" t="s">
        <v>17</v>
      </c>
      <c r="M69" s="13" t="s">
        <v>348</v>
      </c>
      <c r="O69" s="1">
        <v>669</v>
      </c>
      <c r="X69" s="7">
        <v>0.84848484848484795</v>
      </c>
      <c r="Y69" s="36">
        <v>0.98644986449864502</v>
      </c>
      <c r="Z69">
        <v>347296</v>
      </c>
      <c r="AA69">
        <v>5</v>
      </c>
      <c r="AB69">
        <v>305</v>
      </c>
      <c r="AC69">
        <v>364</v>
      </c>
      <c r="AD69" s="1">
        <v>2</v>
      </c>
      <c r="AE69" s="42" t="s">
        <v>618</v>
      </c>
      <c r="AF69" s="42" t="s">
        <v>328</v>
      </c>
      <c r="AH69" s="1" t="s">
        <v>329</v>
      </c>
      <c r="AN69" s="13" t="s">
        <v>327</v>
      </c>
    </row>
    <row r="70" spans="1:49" ht="17" thickBot="1">
      <c r="A70" s="39"/>
      <c r="B70" s="39">
        <v>41</v>
      </c>
      <c r="C70" s="3">
        <v>68</v>
      </c>
      <c r="D70" s="3" t="s">
        <v>354</v>
      </c>
      <c r="F70" s="21"/>
      <c r="G70" s="15" t="s">
        <v>269</v>
      </c>
      <c r="H70" s="14" t="s">
        <v>606</v>
      </c>
      <c r="I70" s="14" t="s">
        <v>17</v>
      </c>
      <c r="J70" s="14" t="s">
        <v>17</v>
      </c>
      <c r="K70" s="14" t="s">
        <v>17</v>
      </c>
      <c r="L70" s="14" t="s">
        <v>606</v>
      </c>
      <c r="M70" s="13" t="s">
        <v>348</v>
      </c>
      <c r="N70" s="4"/>
      <c r="O70" s="1">
        <v>2699</v>
      </c>
      <c r="Q70" s="6"/>
      <c r="R70" s="5"/>
      <c r="S70" s="5"/>
      <c r="T70" s="5"/>
      <c r="U70" s="5"/>
      <c r="V70" s="5"/>
      <c r="W70" s="4"/>
      <c r="X70" s="7">
        <v>0.56877643179700399</v>
      </c>
      <c r="Y70" s="36">
        <v>0.56416637042303597</v>
      </c>
      <c r="Z70">
        <v>344045</v>
      </c>
      <c r="AA70">
        <v>1226</v>
      </c>
      <c r="AB70">
        <v>1112</v>
      </c>
      <c r="AC70">
        <v>1587</v>
      </c>
      <c r="AD70" s="1">
        <v>2</v>
      </c>
      <c r="AE70" s="42" t="s">
        <v>618</v>
      </c>
      <c r="AF70" s="62" t="s">
        <v>604</v>
      </c>
      <c r="AG70" s="39"/>
      <c r="AH70" s="30" t="s">
        <v>605</v>
      </c>
      <c r="AM70" s="1"/>
      <c r="AN70" s="15" t="s">
        <v>269</v>
      </c>
      <c r="AO70" s="1"/>
      <c r="AQ70" s="49"/>
      <c r="AR70" s="49"/>
      <c r="AS70" s="1"/>
    </row>
    <row r="71" spans="1:49">
      <c r="A71" s="39"/>
      <c r="B71" s="39"/>
      <c r="C71" s="3"/>
      <c r="D71" s="3"/>
      <c r="H71" s="1"/>
      <c r="I71" s="1"/>
      <c r="J71" s="1"/>
      <c r="K71" s="1"/>
      <c r="L71" s="1"/>
      <c r="N71" s="4"/>
      <c r="Q71" s="6"/>
      <c r="R71" s="5"/>
      <c r="S71" s="5"/>
      <c r="T71" s="5"/>
      <c r="U71" s="5"/>
      <c r="V71" s="5"/>
      <c r="W71" s="4"/>
      <c r="AE71" s="39"/>
      <c r="AF71" s="62"/>
      <c r="AG71" s="39"/>
      <c r="AH71" s="30"/>
      <c r="AM71" s="1"/>
      <c r="AO71" s="1"/>
      <c r="AQ71" s="49"/>
      <c r="AR71" s="49"/>
      <c r="AS71" s="1"/>
    </row>
    <row r="72" spans="1:49">
      <c r="A72" s="39"/>
      <c r="B72" s="39"/>
      <c r="C72" s="3"/>
      <c r="D72" s="3"/>
      <c r="H72" s="1"/>
      <c r="I72" s="1"/>
      <c r="J72" s="1"/>
      <c r="K72" s="1"/>
      <c r="L72" s="1"/>
      <c r="N72" s="4"/>
      <c r="Q72" s="54"/>
      <c r="R72" s="34"/>
      <c r="S72" s="34"/>
      <c r="T72" s="34"/>
      <c r="U72" s="34"/>
      <c r="V72" s="34"/>
      <c r="W72" s="3"/>
      <c r="X72" s="54"/>
      <c r="Y72" s="34"/>
      <c r="Z72" s="34"/>
      <c r="AA72" s="34"/>
      <c r="AB72" s="34"/>
      <c r="AE72" s="39"/>
      <c r="AG72" s="39"/>
      <c r="AM72" s="1"/>
      <c r="AO72" s="1"/>
      <c r="AQ72" s="49"/>
      <c r="AR72" s="49"/>
      <c r="AS72" s="1"/>
    </row>
    <row r="73" spans="1:49">
      <c r="H73" s="1"/>
      <c r="I73" s="1"/>
      <c r="J73" s="1"/>
      <c r="K73" s="1"/>
      <c r="L73" s="1"/>
      <c r="Q73" s="7"/>
      <c r="R73" s="2"/>
      <c r="S73" s="2"/>
      <c r="T73" s="2"/>
      <c r="U73" s="2"/>
      <c r="V73" s="2"/>
      <c r="AD73" s="2"/>
    </row>
    <row r="74" spans="1:49">
      <c r="F74" s="33"/>
      <c r="G74" s="33"/>
      <c r="AD74" s="2"/>
    </row>
    <row r="75" spans="1:49">
      <c r="F75" s="33"/>
      <c r="G75" s="33"/>
      <c r="W75" s="8"/>
      <c r="AD75" s="8"/>
    </row>
    <row r="76" spans="1:49">
      <c r="F76" s="33"/>
      <c r="G76" s="33"/>
      <c r="W76" s="1"/>
    </row>
    <row r="79" spans="1:49">
      <c r="P79" s="33"/>
      <c r="AE79" s="44"/>
      <c r="AF79" s="44"/>
    </row>
    <row r="80" spans="1:49">
      <c r="AE80" s="45"/>
      <c r="AF80" s="45"/>
    </row>
    <row r="81" spans="31:32">
      <c r="AE81" s="46"/>
      <c r="AF81" s="46"/>
    </row>
  </sheetData>
  <autoFilter ref="A1:AJ70" xr:uid="{50BC881D-8199-D44D-B181-6BA79AC58FDB}"/>
  <sortState xmlns:xlrd2="http://schemas.microsoft.com/office/spreadsheetml/2017/richdata2" ref="A3:AW70">
    <sortCondition ref="C3:C70"/>
  </sortState>
  <conditionalFormatting sqref="A1:A1048576">
    <cfRule type="duplicateValues" dxfId="3" priority="4"/>
  </conditionalFormatting>
  <conditionalFormatting sqref="B3:B70">
    <cfRule type="duplicateValues" dxfId="2" priority="1"/>
  </conditionalFormatting>
  <conditionalFormatting sqref="AE1:AF1048576">
    <cfRule type="duplicateValues" dxfId="1" priority="2"/>
  </conditionalFormatting>
  <conditionalFormatting sqref="AP3:AP63">
    <cfRule type="duplicateValues" dxfId="0" priority="6"/>
  </conditionalFormatting>
  <hyperlinks>
    <hyperlink ref="AQ45" r:id="rId1" xr:uid="{F5E26E41-99C7-0E45-8CD1-A945AFFF41A0}"/>
    <hyperlink ref="AQ44" r:id="rId2" xr:uid="{5843B3EF-6C59-C848-894A-8F67AEBD9BF3}"/>
    <hyperlink ref="AQ3" r:id="rId3" xr:uid="{E6D53D5B-8B2F-9441-951F-D48524F4B132}"/>
    <hyperlink ref="AQ11" r:id="rId4" xr:uid="{8A667D3D-4BB1-0C4C-A6F4-CDC96C4ABBD8}"/>
    <hyperlink ref="AQ33" r:id="rId5" xr:uid="{8832FA7F-DCBB-C249-B9CC-40FA69BBDE3E}"/>
    <hyperlink ref="AQ34" r:id="rId6" xr:uid="{4057C660-5899-DF41-958E-E654946D6E3C}"/>
    <hyperlink ref="AQ4" r:id="rId7" xr:uid="{F8438A6C-82AF-344E-97B8-12A2E5591ECF}"/>
    <hyperlink ref="AQ48" r:id="rId8" xr:uid="{09E64974-0B25-AE4D-B429-EBE49AC3B5D7}"/>
    <hyperlink ref="AQ5" r:id="rId9" xr:uid="{55151A7B-0DA0-5D4B-9007-C2EF6B43C99C}"/>
    <hyperlink ref="AQ6" r:id="rId10" xr:uid="{CDC91BFC-43B5-A54D-9D8F-B2C4D6D53049}"/>
    <hyperlink ref="AQ7" r:id="rId11" xr:uid="{DE0B391F-FA48-CB48-89FF-7E5420B2DC33}"/>
    <hyperlink ref="AQ8" r:id="rId12" xr:uid="{AE509990-29E7-D640-B597-725AD9048492}"/>
    <hyperlink ref="AQ9" r:id="rId13" xr:uid="{F0753B70-25E0-E04A-8297-00147655D1B8}"/>
    <hyperlink ref="AQ10" r:id="rId14" xr:uid="{92EF15F0-C37B-7843-B139-2BB063109476}"/>
    <hyperlink ref="AQ19" r:id="rId15" xr:uid="{D4E4B3C4-0452-0F46-B27E-DA0345515034}"/>
    <hyperlink ref="AQ20" r:id="rId16" xr:uid="{DA14525C-E59F-8840-A72F-D6869CEF6C36}"/>
    <hyperlink ref="AQ21" r:id="rId17" xr:uid="{03C84FA0-5740-534F-86A4-0FFD2B439D94}"/>
    <hyperlink ref="AQ22" r:id="rId18" xr:uid="{17D8C910-0FC2-CA4D-BAF4-03B7F133BDDE}"/>
    <hyperlink ref="AQ27" r:id="rId19" xr:uid="{08309AA8-0AA1-9C4A-99F5-E04E8B097732}"/>
    <hyperlink ref="AQ40" r:id="rId20" xr:uid="{38964C4D-D93A-DB48-B355-201DBC2B0ED9}"/>
    <hyperlink ref="AQ52" r:id="rId21" xr:uid="{416D1004-E84B-614D-9605-BFFE5458A2CB}"/>
    <hyperlink ref="AQ36" r:id="rId22" xr:uid="{69E59CD3-8F1F-8D42-899F-959BF45113CA}"/>
    <hyperlink ref="AQ28" r:id="rId23" xr:uid="{471A7BE9-13FB-5A44-BCA2-4C26E8FA6F36}"/>
    <hyperlink ref="AQ29" r:id="rId24" xr:uid="{0BD209CC-761D-D146-BA6E-09926E591E3D}"/>
    <hyperlink ref="AQ43" r:id="rId25" xr:uid="{B9DEA093-4E5A-2A4B-A422-EBB3178CF943}"/>
    <hyperlink ref="AQ63" r:id="rId26" xr:uid="{5E922ED8-6985-604D-9F3D-14EAA9F1970B}"/>
    <hyperlink ref="AQ12" r:id="rId27" xr:uid="{B7912175-14CC-324C-857A-547424D638FE}"/>
    <hyperlink ref="AQ61" r:id="rId28" xr:uid="{3160FC82-3404-1941-AAC2-14D8C030D950}"/>
    <hyperlink ref="AQ59" r:id="rId29" xr:uid="{15F9AAFF-1CC0-4F46-93B8-E6A898A018A8}"/>
    <hyperlink ref="AQ13" r:id="rId30" xr:uid="{F0AA4FD2-7BC6-8346-8E81-F9BE3904FCF5}"/>
    <hyperlink ref="AQ23" r:id="rId31" xr:uid="{56F778E5-CC75-814F-B070-8335F320BA44}"/>
    <hyperlink ref="AQ55" r:id="rId32" xr:uid="{0DA7F046-9AFE-1841-98C2-76E379231014}"/>
    <hyperlink ref="AQ38" r:id="rId33" xr:uid="{EC4A99BD-E29A-1C4E-ABD5-0BDDBB42258B}"/>
    <hyperlink ref="AQ25" r:id="rId34" xr:uid="{C7628228-C225-234F-BE2F-4AB5CC78E8ED}"/>
    <hyperlink ref="AQ46" r:id="rId35" xr:uid="{CC2A1272-1F28-7E42-AFEC-888D1230C9CE}"/>
    <hyperlink ref="AQ17" r:id="rId36" xr:uid="{417DFAC6-5CFB-C84A-AB07-E38ABCD503C1}"/>
    <hyperlink ref="AQ53" r:id="rId37" xr:uid="{10CEDB5A-9596-B644-B300-2F6FF37336BB}"/>
    <hyperlink ref="AQ37" r:id="rId38" xr:uid="{CDBD87C5-DA3C-9A45-AA21-BAECE7F0CD37}"/>
    <hyperlink ref="AQ30" r:id="rId39" xr:uid="{FB6E3430-F3E0-DC4B-B629-528D67D1C2BE}"/>
    <hyperlink ref="AQ14" r:id="rId40" xr:uid="{29CC9C5F-2280-2F4F-BCCF-368D88E3C55E}"/>
    <hyperlink ref="AQ31" r:id="rId41" xr:uid="{60BB1936-706C-344D-A289-14697522C5E4}"/>
    <hyperlink ref="AQ26" r:id="rId42" display="http://purl.obolibrary.org/obo/CL_4033024" xr:uid="{933D373C-3E74-354F-A2EB-1703AA770C3D}"/>
  </hyperlinks>
  <pageMargins left="0.7" right="0.7" top="0.75" bottom="0.75" header="0.3" footer="0.3"/>
</worksheet>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HLCA_CellRef_matching_ver3_impo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Scheuermann, Richard (NIH/NLM) [E]</dc:creator>
  <cp:lastModifiedBy>Xu, Bingfang Ruth</cp:lastModifiedBy>
  <dcterms:created xsi:type="dcterms:W3CDTF">2024-04-26T20:01:38Z</dcterms:created>
  <dcterms:modified xsi:type="dcterms:W3CDTF">2024-11-04T16:26:24Z</dcterms:modified>
</cp:coreProperties>
</file>